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10" yWindow="-110" windowWidth="19420" windowHeight="11500"/>
  </bookViews>
  <sheets>
    <sheet name="Pivot table" sheetId="9" r:id="rId1"/>
    <sheet name="Clean sheet" sheetId="2" r:id="rId2"/>
    <sheet name="Master sheet" sheetId="1" r:id="rId3"/>
  </sheets>
  <definedNames>
    <definedName name="_xlnm._FilterDatabase" localSheetId="1" hidden="1">'Clean sheet'!$A$1:$A$469</definedName>
  </definedNames>
  <calcPr calcId="162913"/>
  <pivotCaches>
    <pivotCache cacheId="16" r:id="rId4"/>
  </pivotCaches>
</workbook>
</file>

<file path=xl/calcChain.xml><?xml version="1.0" encoding="utf-8"?>
<calcChain xmlns="http://schemas.openxmlformats.org/spreadsheetml/2006/main">
  <c r="P3" i="2" l="1"/>
  <c r="P2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R2" i="2" l="1"/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</calcChain>
</file>

<file path=xl/sharedStrings.xml><?xml version="1.0" encoding="utf-8"?>
<sst xmlns="http://schemas.openxmlformats.org/spreadsheetml/2006/main" count="5888" uniqueCount="1066">
  <si>
    <t>Patient_ID</t>
  </si>
  <si>
    <t>Name</t>
  </si>
  <si>
    <t>Age</t>
  </si>
  <si>
    <t>Gender</t>
  </si>
  <si>
    <t>Department</t>
  </si>
  <si>
    <t>Doctor</t>
  </si>
  <si>
    <t>Diagnosis</t>
  </si>
  <si>
    <t>Admission_Date</t>
  </si>
  <si>
    <t>Discharge_Date</t>
  </si>
  <si>
    <t>Bill_Amount (₦)</t>
  </si>
  <si>
    <t>Lab_Tests_Conducted</t>
  </si>
  <si>
    <t>Medications_Administered</t>
  </si>
  <si>
    <t>Nurses_Assigned</t>
  </si>
  <si>
    <t>Surgery_Cost (₦)</t>
  </si>
  <si>
    <t>EKO1001</t>
  </si>
  <si>
    <t>EKO1002</t>
  </si>
  <si>
    <t>EKO1003</t>
  </si>
  <si>
    <t>EKO1004</t>
  </si>
  <si>
    <t>EKO1005</t>
  </si>
  <si>
    <t>EKO1006</t>
  </si>
  <si>
    <t>EKO1007</t>
  </si>
  <si>
    <t>EKO1008</t>
  </si>
  <si>
    <t>EKO1009</t>
  </si>
  <si>
    <t>EKO1010</t>
  </si>
  <si>
    <t>EKO1011</t>
  </si>
  <si>
    <t>EKO1012</t>
  </si>
  <si>
    <t>EKO1013</t>
  </si>
  <si>
    <t>EKO1014</t>
  </si>
  <si>
    <t>EKO1015</t>
  </si>
  <si>
    <t>EKO1016</t>
  </si>
  <si>
    <t>EKO1017</t>
  </si>
  <si>
    <t>EKO1018</t>
  </si>
  <si>
    <t>EKO1019</t>
  </si>
  <si>
    <t>EKO1020</t>
  </si>
  <si>
    <t>EKO1021</t>
  </si>
  <si>
    <t>EKO1022</t>
  </si>
  <si>
    <t>EKO1023</t>
  </si>
  <si>
    <t>EKO1024</t>
  </si>
  <si>
    <t>EKO1025</t>
  </si>
  <si>
    <t>EKO1026</t>
  </si>
  <si>
    <t>EKO1027</t>
  </si>
  <si>
    <t>EKO1028</t>
  </si>
  <si>
    <t>EKO1029</t>
  </si>
  <si>
    <t>EKO1030</t>
  </si>
  <si>
    <t>EKO1031</t>
  </si>
  <si>
    <t>EKO1032</t>
  </si>
  <si>
    <t>EKO1033</t>
  </si>
  <si>
    <t>EKO1034</t>
  </si>
  <si>
    <t>EKO1035</t>
  </si>
  <si>
    <t>EKO1036</t>
  </si>
  <si>
    <t>EKO1037</t>
  </si>
  <si>
    <t>EKO1038</t>
  </si>
  <si>
    <t>EKO1039</t>
  </si>
  <si>
    <t>EKO1040</t>
  </si>
  <si>
    <t>EKO1041</t>
  </si>
  <si>
    <t>EKO1042</t>
  </si>
  <si>
    <t>EKO1043</t>
  </si>
  <si>
    <t>EKO1044</t>
  </si>
  <si>
    <t>EKO1045</t>
  </si>
  <si>
    <t>EKO1046</t>
  </si>
  <si>
    <t>EKO1047</t>
  </si>
  <si>
    <t>EKO1048</t>
  </si>
  <si>
    <t>EKO1049</t>
  </si>
  <si>
    <t>EKO1050</t>
  </si>
  <si>
    <t>EKO1051</t>
  </si>
  <si>
    <t>EKO1052</t>
  </si>
  <si>
    <t>EKO1053</t>
  </si>
  <si>
    <t>EKO1054</t>
  </si>
  <si>
    <t>EKO1055</t>
  </si>
  <si>
    <t>EKO1056</t>
  </si>
  <si>
    <t>EKO1057</t>
  </si>
  <si>
    <t>EKO1058</t>
  </si>
  <si>
    <t>EKO1059</t>
  </si>
  <si>
    <t>EKO1060</t>
  </si>
  <si>
    <t>EKO1061</t>
  </si>
  <si>
    <t>EKO1062</t>
  </si>
  <si>
    <t>EKO1063</t>
  </si>
  <si>
    <t>EKO1064</t>
  </si>
  <si>
    <t>EKO1065</t>
  </si>
  <si>
    <t>EKO1066</t>
  </si>
  <si>
    <t>EKO1067</t>
  </si>
  <si>
    <t>EKO1068</t>
  </si>
  <si>
    <t>EKO1069</t>
  </si>
  <si>
    <t>EKO1070</t>
  </si>
  <si>
    <t>EKO1071</t>
  </si>
  <si>
    <t>EKO1072</t>
  </si>
  <si>
    <t>EKO1073</t>
  </si>
  <si>
    <t>EKO1074</t>
  </si>
  <si>
    <t>EKO1075</t>
  </si>
  <si>
    <t>EKO1076</t>
  </si>
  <si>
    <t>EKO1077</t>
  </si>
  <si>
    <t>EKO1078</t>
  </si>
  <si>
    <t>EKO1079</t>
  </si>
  <si>
    <t>EKO1080</t>
  </si>
  <si>
    <t>EKO1081</t>
  </si>
  <si>
    <t>EKO1082</t>
  </si>
  <si>
    <t>EKO1083</t>
  </si>
  <si>
    <t>EKO1084</t>
  </si>
  <si>
    <t>EKO1085</t>
  </si>
  <si>
    <t>EKO1086</t>
  </si>
  <si>
    <t>EKO1087</t>
  </si>
  <si>
    <t>EKO1088</t>
  </si>
  <si>
    <t>EKO1089</t>
  </si>
  <si>
    <t>EKO1090</t>
  </si>
  <si>
    <t>EKO1091</t>
  </si>
  <si>
    <t>EKO1092</t>
  </si>
  <si>
    <t>EKO1093</t>
  </si>
  <si>
    <t>EKO1094</t>
  </si>
  <si>
    <t>EKO1095</t>
  </si>
  <si>
    <t>EKO1096</t>
  </si>
  <si>
    <t>EKO1097</t>
  </si>
  <si>
    <t>EKO1098</t>
  </si>
  <si>
    <t>EKO1099</t>
  </si>
  <si>
    <t>EKO1100</t>
  </si>
  <si>
    <t>EKO1101</t>
  </si>
  <si>
    <t>EKO1102</t>
  </si>
  <si>
    <t>EKO1103</t>
  </si>
  <si>
    <t>EKO1104</t>
  </si>
  <si>
    <t>EKO1105</t>
  </si>
  <si>
    <t>EKO1106</t>
  </si>
  <si>
    <t>EKO1107</t>
  </si>
  <si>
    <t>EKO1108</t>
  </si>
  <si>
    <t>EKO1109</t>
  </si>
  <si>
    <t>EKO1110</t>
  </si>
  <si>
    <t>EKO1111</t>
  </si>
  <si>
    <t>EKO1112</t>
  </si>
  <si>
    <t>EKO1113</t>
  </si>
  <si>
    <t>EKO1114</t>
  </si>
  <si>
    <t>EKO1115</t>
  </si>
  <si>
    <t>EKO1116</t>
  </si>
  <si>
    <t>EKO1117</t>
  </si>
  <si>
    <t>EKO1118</t>
  </si>
  <si>
    <t>EKO1119</t>
  </si>
  <si>
    <t>EKO1120</t>
  </si>
  <si>
    <t>EKO1121</t>
  </si>
  <si>
    <t>EKO1122</t>
  </si>
  <si>
    <t>EKO1123</t>
  </si>
  <si>
    <t>EKO1124</t>
  </si>
  <si>
    <t>EKO1125</t>
  </si>
  <si>
    <t>EKO1126</t>
  </si>
  <si>
    <t>EKO1127</t>
  </si>
  <si>
    <t>EKO1128</t>
  </si>
  <si>
    <t>EKO1129</t>
  </si>
  <si>
    <t>EKO1130</t>
  </si>
  <si>
    <t>EKO1131</t>
  </si>
  <si>
    <t>EKO1132</t>
  </si>
  <si>
    <t>EKO1133</t>
  </si>
  <si>
    <t>EKO1134</t>
  </si>
  <si>
    <t>EKO1135</t>
  </si>
  <si>
    <t>EKO1136</t>
  </si>
  <si>
    <t>EKO1137</t>
  </si>
  <si>
    <t>EKO1138</t>
  </si>
  <si>
    <t>EKO1139</t>
  </si>
  <si>
    <t>EKO1140</t>
  </si>
  <si>
    <t>EKO1141</t>
  </si>
  <si>
    <t>EKO1142</t>
  </si>
  <si>
    <t>EKO1143</t>
  </si>
  <si>
    <t>EKO1144</t>
  </si>
  <si>
    <t>EKO1145</t>
  </si>
  <si>
    <t>EKO1146</t>
  </si>
  <si>
    <t>EKO1147</t>
  </si>
  <si>
    <t>EKO1148</t>
  </si>
  <si>
    <t>EKO1149</t>
  </si>
  <si>
    <t>EKO1150</t>
  </si>
  <si>
    <t>EKO1151</t>
  </si>
  <si>
    <t>EKO1152</t>
  </si>
  <si>
    <t>EKO1153</t>
  </si>
  <si>
    <t>EKO1154</t>
  </si>
  <si>
    <t>EKO1155</t>
  </si>
  <si>
    <t>EKO1156</t>
  </si>
  <si>
    <t>EKO1157</t>
  </si>
  <si>
    <t>EKO1158</t>
  </si>
  <si>
    <t>EKO1159</t>
  </si>
  <si>
    <t>EKO1160</t>
  </si>
  <si>
    <t>EKO1161</t>
  </si>
  <si>
    <t>EKO1162</t>
  </si>
  <si>
    <t>EKO1163</t>
  </si>
  <si>
    <t>EKO1164</t>
  </si>
  <si>
    <t>EKO1165</t>
  </si>
  <si>
    <t>EKO1166</t>
  </si>
  <si>
    <t>EKO1167</t>
  </si>
  <si>
    <t>EKO1168</t>
  </si>
  <si>
    <t>EKO1169</t>
  </si>
  <si>
    <t>EKO1170</t>
  </si>
  <si>
    <t>EKO1171</t>
  </si>
  <si>
    <t>EKO1172</t>
  </si>
  <si>
    <t>EKO1173</t>
  </si>
  <si>
    <t>EKO1174</t>
  </si>
  <si>
    <t>EKO1175</t>
  </si>
  <si>
    <t>EKO1176</t>
  </si>
  <si>
    <t>EKO1177</t>
  </si>
  <si>
    <t>EKO1178</t>
  </si>
  <si>
    <t>EKO1179</t>
  </si>
  <si>
    <t>EKO1180</t>
  </si>
  <si>
    <t>EKO1181</t>
  </si>
  <si>
    <t>EKO1182</t>
  </si>
  <si>
    <t>EKO1183</t>
  </si>
  <si>
    <t>EKO1184</t>
  </si>
  <si>
    <t>EKO1185</t>
  </si>
  <si>
    <t>EKO1186</t>
  </si>
  <si>
    <t>EKO1187</t>
  </si>
  <si>
    <t>EKO1188</t>
  </si>
  <si>
    <t>EKO1189</t>
  </si>
  <si>
    <t>EKO1190</t>
  </si>
  <si>
    <t>EKO1191</t>
  </si>
  <si>
    <t>EKO1192</t>
  </si>
  <si>
    <t>EKO1193</t>
  </si>
  <si>
    <t>EKO1194</t>
  </si>
  <si>
    <t>EKO1195</t>
  </si>
  <si>
    <t>EKO1196</t>
  </si>
  <si>
    <t>EKO1197</t>
  </si>
  <si>
    <t>EKO1198</t>
  </si>
  <si>
    <t>EKO1199</t>
  </si>
  <si>
    <t>EKO1200</t>
  </si>
  <si>
    <t>EKO1201</t>
  </si>
  <si>
    <t>EKO1202</t>
  </si>
  <si>
    <t>EKO1203</t>
  </si>
  <si>
    <t>EKO1204</t>
  </si>
  <si>
    <t>EKO1205</t>
  </si>
  <si>
    <t>EKO1206</t>
  </si>
  <si>
    <t>EKO1207</t>
  </si>
  <si>
    <t>EKO1208</t>
  </si>
  <si>
    <t>EKO1209</t>
  </si>
  <si>
    <t>EKO1210</t>
  </si>
  <si>
    <t>EKO1211</t>
  </si>
  <si>
    <t>EKO1212</t>
  </si>
  <si>
    <t>EKO1213</t>
  </si>
  <si>
    <t>EKO1214</t>
  </si>
  <si>
    <t>EKO1215</t>
  </si>
  <si>
    <t>EKO1216</t>
  </si>
  <si>
    <t>EKO1217</t>
  </si>
  <si>
    <t>EKO1218</t>
  </si>
  <si>
    <t>EKO1219</t>
  </si>
  <si>
    <t>EKO1220</t>
  </si>
  <si>
    <t>EKO1221</t>
  </si>
  <si>
    <t>EKO1222</t>
  </si>
  <si>
    <t>EKO1223</t>
  </si>
  <si>
    <t>EKO1224</t>
  </si>
  <si>
    <t>EKO1225</t>
  </si>
  <si>
    <t>EKO1226</t>
  </si>
  <si>
    <t>EKO1227</t>
  </si>
  <si>
    <t>EKO1228</t>
  </si>
  <si>
    <t>EKO1229</t>
  </si>
  <si>
    <t>EKO1230</t>
  </si>
  <si>
    <t>EKO1231</t>
  </si>
  <si>
    <t>EKO1232</t>
  </si>
  <si>
    <t>EKO1233</t>
  </si>
  <si>
    <t>EKO1234</t>
  </si>
  <si>
    <t>EKO1235</t>
  </si>
  <si>
    <t>EKO1236</t>
  </si>
  <si>
    <t>EKO1237</t>
  </si>
  <si>
    <t>EKO1238</t>
  </si>
  <si>
    <t>EKO1239</t>
  </si>
  <si>
    <t>EKO1240</t>
  </si>
  <si>
    <t>EKO1241</t>
  </si>
  <si>
    <t>EKO1242</t>
  </si>
  <si>
    <t>EKO1243</t>
  </si>
  <si>
    <t>EKO1244</t>
  </si>
  <si>
    <t>EKO1245</t>
  </si>
  <si>
    <t>EKO1246</t>
  </si>
  <si>
    <t>EKO1247</t>
  </si>
  <si>
    <t>EKO1248</t>
  </si>
  <si>
    <t>EKO1249</t>
  </si>
  <si>
    <t>EKO1250</t>
  </si>
  <si>
    <t>EKO1251</t>
  </si>
  <si>
    <t>EKO1252</t>
  </si>
  <si>
    <t>EKO1253</t>
  </si>
  <si>
    <t>EKO1254</t>
  </si>
  <si>
    <t>EKO1255</t>
  </si>
  <si>
    <t>EKO1256</t>
  </si>
  <si>
    <t>EKO1257</t>
  </si>
  <si>
    <t>EKO1258</t>
  </si>
  <si>
    <t>EKO1259</t>
  </si>
  <si>
    <t>EKO1260</t>
  </si>
  <si>
    <t>EKO1261</t>
  </si>
  <si>
    <t>EKO1262</t>
  </si>
  <si>
    <t>EKO1263</t>
  </si>
  <si>
    <t>EKO1264</t>
  </si>
  <si>
    <t>EKO1265</t>
  </si>
  <si>
    <t>EKO1266</t>
  </si>
  <si>
    <t>EKO1267</t>
  </si>
  <si>
    <t>EKO1268</t>
  </si>
  <si>
    <t>EKO1269</t>
  </si>
  <si>
    <t>EKO1270</t>
  </si>
  <si>
    <t>EKO1271</t>
  </si>
  <si>
    <t>EKO1272</t>
  </si>
  <si>
    <t>EKO1273</t>
  </si>
  <si>
    <t>EKO1274</t>
  </si>
  <si>
    <t>EKO1275</t>
  </si>
  <si>
    <t>EKO1276</t>
  </si>
  <si>
    <t>EKO1277</t>
  </si>
  <si>
    <t>EKO1278</t>
  </si>
  <si>
    <t>EKO1279</t>
  </si>
  <si>
    <t>EKO1280</t>
  </si>
  <si>
    <t>EKO1281</t>
  </si>
  <si>
    <t>EKO1282</t>
  </si>
  <si>
    <t>EKO1283</t>
  </si>
  <si>
    <t>EKO1284</t>
  </si>
  <si>
    <t>EKO1285</t>
  </si>
  <si>
    <t>EKO1286</t>
  </si>
  <si>
    <t>EKO1287</t>
  </si>
  <si>
    <t>EKO1288</t>
  </si>
  <si>
    <t>EKO1289</t>
  </si>
  <si>
    <t>EKO1290</t>
  </si>
  <si>
    <t>EKO1291</t>
  </si>
  <si>
    <t>EKO1292</t>
  </si>
  <si>
    <t>EKO1293</t>
  </si>
  <si>
    <t>EKO1294</t>
  </si>
  <si>
    <t>EKO1295</t>
  </si>
  <si>
    <t>EKO1296</t>
  </si>
  <si>
    <t>EKO1297</t>
  </si>
  <si>
    <t>EKO1298</t>
  </si>
  <si>
    <t>EKO1299</t>
  </si>
  <si>
    <t>EKO1300</t>
  </si>
  <si>
    <t>EKO1301</t>
  </si>
  <si>
    <t>EKO1302</t>
  </si>
  <si>
    <t>EKO1303</t>
  </si>
  <si>
    <t>EKO1304</t>
  </si>
  <si>
    <t>EKO1305</t>
  </si>
  <si>
    <t>EKO1306</t>
  </si>
  <si>
    <t>EKO1307</t>
  </si>
  <si>
    <t>EKO1308</t>
  </si>
  <si>
    <t>EKO1309</t>
  </si>
  <si>
    <t>EKO1310</t>
  </si>
  <si>
    <t>EKO1311</t>
  </si>
  <si>
    <t>EKO1312</t>
  </si>
  <si>
    <t>EKO1313</t>
  </si>
  <si>
    <t>EKO1314</t>
  </si>
  <si>
    <t>EKO1315</t>
  </si>
  <si>
    <t>EKO1316</t>
  </si>
  <si>
    <t>EKO1317</t>
  </si>
  <si>
    <t>EKO1318</t>
  </si>
  <si>
    <t>EKO1319</t>
  </si>
  <si>
    <t>EKO1320</t>
  </si>
  <si>
    <t>EKO1321</t>
  </si>
  <si>
    <t>EKO1322</t>
  </si>
  <si>
    <t>EKO1323</t>
  </si>
  <si>
    <t>EKO1324</t>
  </si>
  <si>
    <t>EKO1325</t>
  </si>
  <si>
    <t>EKO1326</t>
  </si>
  <si>
    <t>EKO1327</t>
  </si>
  <si>
    <t>EKO1328</t>
  </si>
  <si>
    <t>EKO1329</t>
  </si>
  <si>
    <t>EKO1330</t>
  </si>
  <si>
    <t>EKO1331</t>
  </si>
  <si>
    <t>EKO1332</t>
  </si>
  <si>
    <t>EKO1333</t>
  </si>
  <si>
    <t>EKO1334</t>
  </si>
  <si>
    <t>EKO1335</t>
  </si>
  <si>
    <t>EKO1336</t>
  </si>
  <si>
    <t>EKO1337</t>
  </si>
  <si>
    <t>EKO1338</t>
  </si>
  <si>
    <t>EKO1339</t>
  </si>
  <si>
    <t>EKO1340</t>
  </si>
  <si>
    <t>EKO1341</t>
  </si>
  <si>
    <t>EKO1342</t>
  </si>
  <si>
    <t>EKO1343</t>
  </si>
  <si>
    <t>EKO1344</t>
  </si>
  <si>
    <t>EKO1345</t>
  </si>
  <si>
    <t>EKO1346</t>
  </si>
  <si>
    <t>EKO1347</t>
  </si>
  <si>
    <t>EKO1348</t>
  </si>
  <si>
    <t>EKO1349</t>
  </si>
  <si>
    <t>EKO1350</t>
  </si>
  <si>
    <t>EKO1351</t>
  </si>
  <si>
    <t>EKO1352</t>
  </si>
  <si>
    <t>EKO1353</t>
  </si>
  <si>
    <t>EKO1354</t>
  </si>
  <si>
    <t>EKO1355</t>
  </si>
  <si>
    <t>EKO1356</t>
  </si>
  <si>
    <t>EKO1357</t>
  </si>
  <si>
    <t>EKO1358</t>
  </si>
  <si>
    <t>EKO1359</t>
  </si>
  <si>
    <t>EKO1360</t>
  </si>
  <si>
    <t>EKO1361</t>
  </si>
  <si>
    <t>EKO1362</t>
  </si>
  <si>
    <t>EKO1363</t>
  </si>
  <si>
    <t>EKO1364</t>
  </si>
  <si>
    <t>EKO1365</t>
  </si>
  <si>
    <t>EKO1366</t>
  </si>
  <si>
    <t>EKO1367</t>
  </si>
  <si>
    <t>EKO1368</t>
  </si>
  <si>
    <t>EKO1369</t>
  </si>
  <si>
    <t>EKO1370</t>
  </si>
  <si>
    <t>EKO1371</t>
  </si>
  <si>
    <t>EKO1372</t>
  </si>
  <si>
    <t>EKO1373</t>
  </si>
  <si>
    <t>EKO1374</t>
  </si>
  <si>
    <t>EKO1375</t>
  </si>
  <si>
    <t>EKO1376</t>
  </si>
  <si>
    <t>EKO1377</t>
  </si>
  <si>
    <t>EKO1378</t>
  </si>
  <si>
    <t>EKO1379</t>
  </si>
  <si>
    <t>EKO1380</t>
  </si>
  <si>
    <t>EKO1381</t>
  </si>
  <si>
    <t>EKO1382</t>
  </si>
  <si>
    <t>EKO1383</t>
  </si>
  <si>
    <t>EKO1384</t>
  </si>
  <si>
    <t>EKO1385</t>
  </si>
  <si>
    <t>EKO1386</t>
  </si>
  <si>
    <t>EKO1387</t>
  </si>
  <si>
    <t>EKO1388</t>
  </si>
  <si>
    <t>EKO1389</t>
  </si>
  <si>
    <t>EKO1390</t>
  </si>
  <si>
    <t>EKO1391</t>
  </si>
  <si>
    <t>EKO1392</t>
  </si>
  <si>
    <t>EKO1393</t>
  </si>
  <si>
    <t>EKO1394</t>
  </si>
  <si>
    <t>EKO1395</t>
  </si>
  <si>
    <t>EKO1396</t>
  </si>
  <si>
    <t>EKO1397</t>
  </si>
  <si>
    <t>EKO1398</t>
  </si>
  <si>
    <t>EKO1399</t>
  </si>
  <si>
    <t>EKO1400</t>
  </si>
  <si>
    <t>EKO1401</t>
  </si>
  <si>
    <t>EKO1402</t>
  </si>
  <si>
    <t>EKO1403</t>
  </si>
  <si>
    <t>EKO1404</t>
  </si>
  <si>
    <t>EKO1405</t>
  </si>
  <si>
    <t>EKO1406</t>
  </si>
  <si>
    <t>EKO1407</t>
  </si>
  <si>
    <t>EKO1408</t>
  </si>
  <si>
    <t>EKO1409</t>
  </si>
  <si>
    <t>EKO1410</t>
  </si>
  <si>
    <t>EKO1411</t>
  </si>
  <si>
    <t>EKO1412</t>
  </si>
  <si>
    <t>EKO1413</t>
  </si>
  <si>
    <t>EKO1414</t>
  </si>
  <si>
    <t>EKO1415</t>
  </si>
  <si>
    <t>EKO1416</t>
  </si>
  <si>
    <t>EKO1417</t>
  </si>
  <si>
    <t>EKO1418</t>
  </si>
  <si>
    <t>EKO1419</t>
  </si>
  <si>
    <t>EKO1420</t>
  </si>
  <si>
    <t>EKO1421</t>
  </si>
  <si>
    <t>EKO1422</t>
  </si>
  <si>
    <t>EKO1423</t>
  </si>
  <si>
    <t>EKO1424</t>
  </si>
  <si>
    <t>EKO1425</t>
  </si>
  <si>
    <t>EKO1426</t>
  </si>
  <si>
    <t>EKO1427</t>
  </si>
  <si>
    <t>EKO1428</t>
  </si>
  <si>
    <t>EKO1429</t>
  </si>
  <si>
    <t>EKO1430</t>
  </si>
  <si>
    <t>EKO1431</t>
  </si>
  <si>
    <t>EKO1432</t>
  </si>
  <si>
    <t>EKO1433</t>
  </si>
  <si>
    <t>EKO1434</t>
  </si>
  <si>
    <t>EKO1435</t>
  </si>
  <si>
    <t>EKO1436</t>
  </si>
  <si>
    <t>EKO1437</t>
  </si>
  <si>
    <t>EKO1438</t>
  </si>
  <si>
    <t>EKO1439</t>
  </si>
  <si>
    <t>EKO1440</t>
  </si>
  <si>
    <t>EKO1441</t>
  </si>
  <si>
    <t>EKO1442</t>
  </si>
  <si>
    <t>EKO1443</t>
  </si>
  <si>
    <t>EKO1444</t>
  </si>
  <si>
    <t>EKO1445</t>
  </si>
  <si>
    <t>EKO1446</t>
  </si>
  <si>
    <t>EKO1447</t>
  </si>
  <si>
    <t>EKO1448</t>
  </si>
  <si>
    <t>EKO1449</t>
  </si>
  <si>
    <t>EKO1450</t>
  </si>
  <si>
    <t>EKO1451</t>
  </si>
  <si>
    <t>EKO1452</t>
  </si>
  <si>
    <t>EKO1453</t>
  </si>
  <si>
    <t>EKO1454</t>
  </si>
  <si>
    <t>EKO1455</t>
  </si>
  <si>
    <t>EKO1456</t>
  </si>
  <si>
    <t>EKO1457</t>
  </si>
  <si>
    <t>EKO1458</t>
  </si>
  <si>
    <t>EKO1459</t>
  </si>
  <si>
    <t>EKO1460</t>
  </si>
  <si>
    <t>EKO1461</t>
  </si>
  <si>
    <t>EKO1462</t>
  </si>
  <si>
    <t>EKO1463</t>
  </si>
  <si>
    <t>EKO1464</t>
  </si>
  <si>
    <t>EKO1465</t>
  </si>
  <si>
    <t>EKO1466</t>
  </si>
  <si>
    <t>EKO1467</t>
  </si>
  <si>
    <t>EKO1468</t>
  </si>
  <si>
    <t>EKO1469</t>
  </si>
  <si>
    <t>EKO1470</t>
  </si>
  <si>
    <t>EKO1471</t>
  </si>
  <si>
    <t>EKO1472</t>
  </si>
  <si>
    <t>EKO1473</t>
  </si>
  <si>
    <t>EKO1474</t>
  </si>
  <si>
    <t>EKO1475</t>
  </si>
  <si>
    <t>EKO1476</t>
  </si>
  <si>
    <t>EKO1477</t>
  </si>
  <si>
    <t>EKO1478</t>
  </si>
  <si>
    <t>EKO1479</t>
  </si>
  <si>
    <t>EKO1480</t>
  </si>
  <si>
    <t>EKO1481</t>
  </si>
  <si>
    <t>EKO1482</t>
  </si>
  <si>
    <t>EKO1483</t>
  </si>
  <si>
    <t>EKO1484</t>
  </si>
  <si>
    <t>EKO1485</t>
  </si>
  <si>
    <t>EKO1486</t>
  </si>
  <si>
    <t>EKO1487</t>
  </si>
  <si>
    <t>EKO1488</t>
  </si>
  <si>
    <t>EKO1489</t>
  </si>
  <si>
    <t>EKO1490</t>
  </si>
  <si>
    <t>EKO1491</t>
  </si>
  <si>
    <t>EKO1492</t>
  </si>
  <si>
    <t>EKO1493</t>
  </si>
  <si>
    <t>EKO1494</t>
  </si>
  <si>
    <t>EKO1495</t>
  </si>
  <si>
    <t>EKO1496</t>
  </si>
  <si>
    <t>EKO1497</t>
  </si>
  <si>
    <t>EKO1498</t>
  </si>
  <si>
    <t>EKO1499</t>
  </si>
  <si>
    <t>EKO1500</t>
  </si>
  <si>
    <t>Philip Wagner</t>
  </si>
  <si>
    <t>Amanda Mitchell</t>
  </si>
  <si>
    <t>Melvin Dunn</t>
  </si>
  <si>
    <t>Robin Rollins</t>
  </si>
  <si>
    <t>Steve Thomas</t>
  </si>
  <si>
    <t>Brandi Watson</t>
  </si>
  <si>
    <t>Melissa Mccormick</t>
  </si>
  <si>
    <t>Joshua Goodman</t>
  </si>
  <si>
    <t>Paula Cooper</t>
  </si>
  <si>
    <t>Richard Austin</t>
  </si>
  <si>
    <t>Judith Smith</t>
  </si>
  <si>
    <t>Thomas Brown</t>
  </si>
  <si>
    <t>Michele Smith</t>
  </si>
  <si>
    <t>Janet King</t>
  </si>
  <si>
    <t>Ronald Pearson</t>
  </si>
  <si>
    <t>Joe Guerrero</t>
  </si>
  <si>
    <t>Jasmine Gilbert</t>
  </si>
  <si>
    <t>Brandon Richard</t>
  </si>
  <si>
    <t>Alexander Thornton</t>
  </si>
  <si>
    <t>William Mitchell</t>
  </si>
  <si>
    <t>Sara Hernandez</t>
  </si>
  <si>
    <t>Curtis Keller</t>
  </si>
  <si>
    <t>Kelly Robles</t>
  </si>
  <si>
    <t>Bailey Tanner</t>
  </si>
  <si>
    <t>Ann Maxwell</t>
  </si>
  <si>
    <t>Richard Richardson</t>
  </si>
  <si>
    <t>Dan Wolfe</t>
  </si>
  <si>
    <t>Melanie Anderson</t>
  </si>
  <si>
    <t>Tiffany Nguyen</t>
  </si>
  <si>
    <t>Curtis Brock</t>
  </si>
  <si>
    <t>David Thomas</t>
  </si>
  <si>
    <t>Mary Foley</t>
  </si>
  <si>
    <t>Shannon Crawford</t>
  </si>
  <si>
    <t>Cynthia Kirk</t>
  </si>
  <si>
    <t>Katrina Flores</t>
  </si>
  <si>
    <t>Lindsay Miller</t>
  </si>
  <si>
    <t>Lorraine Riley</t>
  </si>
  <si>
    <t>Elizabeth Baker</t>
  </si>
  <si>
    <t>Kayla Thompson</t>
  </si>
  <si>
    <t>Kristin Salinas</t>
  </si>
  <si>
    <t>Wendy Hill</t>
  </si>
  <si>
    <t>Andrew Hawkins</t>
  </si>
  <si>
    <t>Holly Gray</t>
  </si>
  <si>
    <t>Jason Wagner</t>
  </si>
  <si>
    <t>Michael Gonzalez</t>
  </si>
  <si>
    <t>Debbie Vasquez</t>
  </si>
  <si>
    <t>Alyssa Robbins</t>
  </si>
  <si>
    <t>Alejandro White</t>
  </si>
  <si>
    <t>Jessica Sanders</t>
  </si>
  <si>
    <t>Anthony Woodward</t>
  </si>
  <si>
    <t>Raymond Wagner</t>
  </si>
  <si>
    <t>Grace James</t>
  </si>
  <si>
    <t>Monique Meyer</t>
  </si>
  <si>
    <t>Samuel Cole</t>
  </si>
  <si>
    <t>Todd Haynes</t>
  </si>
  <si>
    <t>Rebecca Carter</t>
  </si>
  <si>
    <t>Adam Wood</t>
  </si>
  <si>
    <t>Holly Turner</t>
  </si>
  <si>
    <t>Crystal Grimes</t>
  </si>
  <si>
    <t>Peter Davis</t>
  </si>
  <si>
    <t>Christopher Moore</t>
  </si>
  <si>
    <t>Michelle Patterson</t>
  </si>
  <si>
    <t>Robert Ramirez</t>
  </si>
  <si>
    <t>Patricia Ferguson</t>
  </si>
  <si>
    <t>Jennifer Hood</t>
  </si>
  <si>
    <t>Anthony Olson</t>
  </si>
  <si>
    <t>Paula Jimenez</t>
  </si>
  <si>
    <t>Paul Henderson</t>
  </si>
  <si>
    <t>Ashley Hall</t>
  </si>
  <si>
    <t>Jessica Baldwin</t>
  </si>
  <si>
    <t>Terry Gutierrez</t>
  </si>
  <si>
    <t>Robert Chandler</t>
  </si>
  <si>
    <t>Curtis Evans</t>
  </si>
  <si>
    <t>Mary Nash</t>
  </si>
  <si>
    <t>Peggy Alvarado</t>
  </si>
  <si>
    <t>Nicole Snow</t>
  </si>
  <si>
    <t>Ian Higgins</t>
  </si>
  <si>
    <t>Jennifer Norman</t>
  </si>
  <si>
    <t>Destiny Welch</t>
  </si>
  <si>
    <t>Paul Bond</t>
  </si>
  <si>
    <t>Johnny Taylor</t>
  </si>
  <si>
    <t>Amanda Keller</t>
  </si>
  <si>
    <t>Amber Long</t>
  </si>
  <si>
    <t>Kimberly Jenkins</t>
  </si>
  <si>
    <t>Kimberly Anderson</t>
  </si>
  <si>
    <t>Sarah Palmer</t>
  </si>
  <si>
    <t>Bonnie Monroe</t>
  </si>
  <si>
    <t>Pamela Torres</t>
  </si>
  <si>
    <t>Eddie Lee</t>
  </si>
  <si>
    <t>Cassandra Maldonado</t>
  </si>
  <si>
    <t>James Vasquez</t>
  </si>
  <si>
    <t>Brian Howard</t>
  </si>
  <si>
    <t>Jeffrey Palmer</t>
  </si>
  <si>
    <t>Janet Smith</t>
  </si>
  <si>
    <t>Robert Frye</t>
  </si>
  <si>
    <t>Samantha Dyer</t>
  </si>
  <si>
    <t>Kevin Flores</t>
  </si>
  <si>
    <t>Justin Anderson</t>
  </si>
  <si>
    <t>Andre Allison</t>
  </si>
  <si>
    <t>Alexandra Campos</t>
  </si>
  <si>
    <t>Melanie Richardson</t>
  </si>
  <si>
    <t>Billy Smith</t>
  </si>
  <si>
    <t>Phillip Crawford</t>
  </si>
  <si>
    <t>Ruth Barr</t>
  </si>
  <si>
    <t>Elizabeth Mullen</t>
  </si>
  <si>
    <t>Joseph Campbell</t>
  </si>
  <si>
    <t>Frank Mathews</t>
  </si>
  <si>
    <t>Brittney Moses</t>
  </si>
  <si>
    <t>Kelsey Brown</t>
  </si>
  <si>
    <t>Justin Harmon</t>
  </si>
  <si>
    <t>Rose Gomez</t>
  </si>
  <si>
    <t>Christian Benson</t>
  </si>
  <si>
    <t>Jason Farrell</t>
  </si>
  <si>
    <t>Kimberly Arellano</t>
  </si>
  <si>
    <t>Daniel Nixon</t>
  </si>
  <si>
    <t>Susan Grimes</t>
  </si>
  <si>
    <t>Ashley Ramsey</t>
  </si>
  <si>
    <t>Thomas Jordan</t>
  </si>
  <si>
    <t>Grant Brown</t>
  </si>
  <si>
    <t>Jill Stout</t>
  </si>
  <si>
    <t>Jason Meadows</t>
  </si>
  <si>
    <t>Crystal Rios</t>
  </si>
  <si>
    <t>Jamie Flores</t>
  </si>
  <si>
    <t>Megan West</t>
  </si>
  <si>
    <t>Adam Mckenzie</t>
  </si>
  <si>
    <t>Daniel Mathis DVM</t>
  </si>
  <si>
    <t>Elizabeth Jennings</t>
  </si>
  <si>
    <t>Patricia Jones</t>
  </si>
  <si>
    <t>Debbie Hopkins</t>
  </si>
  <si>
    <t>Jessica Calhoun</t>
  </si>
  <si>
    <t>Lawrence Lang</t>
  </si>
  <si>
    <t>Jason Allen</t>
  </si>
  <si>
    <t>Sylvia Baxter</t>
  </si>
  <si>
    <t>Jacqueline Noble</t>
  </si>
  <si>
    <t>Stephanie Lindsey</t>
  </si>
  <si>
    <t>Diana Clark</t>
  </si>
  <si>
    <t>John Jordan</t>
  </si>
  <si>
    <t>Sabrina Neal</t>
  </si>
  <si>
    <t>Connor Landry</t>
  </si>
  <si>
    <t>Debra Ramos</t>
  </si>
  <si>
    <t>Misty Meyer</t>
  </si>
  <si>
    <t>James Avery</t>
  </si>
  <si>
    <t>Tara Hendricks</t>
  </si>
  <si>
    <t>Luke Lopez</t>
  </si>
  <si>
    <t>Doris Russo</t>
  </si>
  <si>
    <t>James Taylor</t>
  </si>
  <si>
    <t>James Craig</t>
  </si>
  <si>
    <t>Richard Lee</t>
  </si>
  <si>
    <t>Deborah Atkins</t>
  </si>
  <si>
    <t>Darius Clayton</t>
  </si>
  <si>
    <t>Brittany Carlson</t>
  </si>
  <si>
    <t>Gary Fleming</t>
  </si>
  <si>
    <t>Jared Snyder</t>
  </si>
  <si>
    <t>Louis Cox</t>
  </si>
  <si>
    <t>Julie Jacobs DDS</t>
  </si>
  <si>
    <t>Tiffany Ramsey</t>
  </si>
  <si>
    <t>Christopher Williams</t>
  </si>
  <si>
    <t>Daniel Johnson</t>
  </si>
  <si>
    <t>Nicole Trujillo</t>
  </si>
  <si>
    <t>Michael Freeman</t>
  </si>
  <si>
    <t>Ashley Thompson</t>
  </si>
  <si>
    <t>Victoria Vincent</t>
  </si>
  <si>
    <t>Suzanne Lambert</t>
  </si>
  <si>
    <t>George Pitts</t>
  </si>
  <si>
    <t>Miss Victoria Mccullough</t>
  </si>
  <si>
    <t>Angela Hernandez</t>
  </si>
  <si>
    <t>Terry Hunt</t>
  </si>
  <si>
    <t>Johnny Rodgers</t>
  </si>
  <si>
    <t>Mrs. Robin Ferguson</t>
  </si>
  <si>
    <t>Michael Johnson</t>
  </si>
  <si>
    <t>Felicia Garcia</t>
  </si>
  <si>
    <t>Thomas Guerrero</t>
  </si>
  <si>
    <t>David Burke</t>
  </si>
  <si>
    <t>Michael Glover</t>
  </si>
  <si>
    <t>Jennifer Yang</t>
  </si>
  <si>
    <t>Randy Harmon</t>
  </si>
  <si>
    <t>Cassandra Williams</t>
  </si>
  <si>
    <t>Nicholas Wilson</t>
  </si>
  <si>
    <t>Cynthia Crawford</t>
  </si>
  <si>
    <t>Steven Jones</t>
  </si>
  <si>
    <t>Jennifer Brown</t>
  </si>
  <si>
    <t>Gregory Mitchell</t>
  </si>
  <si>
    <t>Keith White</t>
  </si>
  <si>
    <t>Laura Robles</t>
  </si>
  <si>
    <t>Nicholas Martin</t>
  </si>
  <si>
    <t>Christopher Morrow</t>
  </si>
  <si>
    <t>Laura Ortiz</t>
  </si>
  <si>
    <t>Danielle Ford PhD</t>
  </si>
  <si>
    <t>Joseph Hicks DVM</t>
  </si>
  <si>
    <t>Nathan Knight</t>
  </si>
  <si>
    <t>John Schwartz</t>
  </si>
  <si>
    <t>Steven Bruce</t>
  </si>
  <si>
    <t>Brandon Ramirez</t>
  </si>
  <si>
    <t>Kelly Dixon</t>
  </si>
  <si>
    <t>Lauren Ramirez DDS</t>
  </si>
  <si>
    <t>Carolyn Webb</t>
  </si>
  <si>
    <t>Lonnie Boyle</t>
  </si>
  <si>
    <t>Amy Thomas</t>
  </si>
  <si>
    <t>Christopher Stewart</t>
  </si>
  <si>
    <t>Sarah Wilson</t>
  </si>
  <si>
    <t>Joseph Anderson DVM</t>
  </si>
  <si>
    <t>Jessica Howard</t>
  </si>
  <si>
    <t>Daniel Grant</t>
  </si>
  <si>
    <t>Jason Bailey</t>
  </si>
  <si>
    <t>Kevin Russell</t>
  </si>
  <si>
    <t>Maria Gibbs</t>
  </si>
  <si>
    <t>Brendan Ross</t>
  </si>
  <si>
    <t>James Richmond</t>
  </si>
  <si>
    <t>Michael Guzman</t>
  </si>
  <si>
    <t>Andrea Callahan</t>
  </si>
  <si>
    <t>Dr. Michael Barton MD</t>
  </si>
  <si>
    <t>Matthew Harris</t>
  </si>
  <si>
    <t>Adam Williams Jr.</t>
  </si>
  <si>
    <t>Emily Clark</t>
  </si>
  <si>
    <t>Anthony Holmes</t>
  </si>
  <si>
    <t>Michael Jones</t>
  </si>
  <si>
    <t>Lisa Contreras</t>
  </si>
  <si>
    <t>Cassandra Mann</t>
  </si>
  <si>
    <t>Stephanie Hamilton</t>
  </si>
  <si>
    <t>Benjamin Pierce</t>
  </si>
  <si>
    <t>Tammy Harris</t>
  </si>
  <si>
    <t>Melanie Morrow</t>
  </si>
  <si>
    <t>Rachel Newman</t>
  </si>
  <si>
    <t>Lauren Archer</t>
  </si>
  <si>
    <t>Veronica Brooks</t>
  </si>
  <si>
    <t>Sarah Mccall</t>
  </si>
  <si>
    <t>Leah Duncan</t>
  </si>
  <si>
    <t>James Anderson</t>
  </si>
  <si>
    <t>Richard Juarez</t>
  </si>
  <si>
    <t>Wanda Solis</t>
  </si>
  <si>
    <t>James Scott</t>
  </si>
  <si>
    <t>Kevin Thompson</t>
  </si>
  <si>
    <t>Jose Mack</t>
  </si>
  <si>
    <t>Jennifer Owens</t>
  </si>
  <si>
    <t>Joy Davis</t>
  </si>
  <si>
    <t>Carrie Marshall</t>
  </si>
  <si>
    <t>Kevin Jenkins</t>
  </si>
  <si>
    <t>Alexa Greene</t>
  </si>
  <si>
    <t>Jordan Patrick</t>
  </si>
  <si>
    <t>Reginald Wright</t>
  </si>
  <si>
    <t>Dawn Williams</t>
  </si>
  <si>
    <t>Daniel Ortiz</t>
  </si>
  <si>
    <t>Richard Wilson</t>
  </si>
  <si>
    <t>James James</t>
  </si>
  <si>
    <t>Frank Young</t>
  </si>
  <si>
    <t>Michael Harris</t>
  </si>
  <si>
    <t>Nicole Snyder</t>
  </si>
  <si>
    <t>Erica Chapman</t>
  </si>
  <si>
    <t>James Martinez</t>
  </si>
  <si>
    <t>Patrick Brady</t>
  </si>
  <si>
    <t>Mario Reeves</t>
  </si>
  <si>
    <t>Angela Bush</t>
  </si>
  <si>
    <t>Kevin Garrett</t>
  </si>
  <si>
    <t>Joshua Hardin</t>
  </si>
  <si>
    <t>Vickie Middleton</t>
  </si>
  <si>
    <t>David Perkins</t>
  </si>
  <si>
    <t>Derrick Patterson</t>
  </si>
  <si>
    <t>Virginia Armstrong</t>
  </si>
  <si>
    <t>Elizabeth Rich</t>
  </si>
  <si>
    <t>Melissa Green</t>
  </si>
  <si>
    <t>Dr. Diane Mahoney DDS</t>
  </si>
  <si>
    <t>Jennifer Martin</t>
  </si>
  <si>
    <t>Jared Irwin</t>
  </si>
  <si>
    <t>Dennis Carey</t>
  </si>
  <si>
    <t>Tricia Hughes</t>
  </si>
  <si>
    <t>Rachel Patel</t>
  </si>
  <si>
    <t>Angela Brady</t>
  </si>
  <si>
    <t>Grant Mullins</t>
  </si>
  <si>
    <t>Larry Pierce</t>
  </si>
  <si>
    <t>Erin Wilcox</t>
  </si>
  <si>
    <t>Debra Perez</t>
  </si>
  <si>
    <t>Cynthia Schwartz</t>
  </si>
  <si>
    <t>Christopher Stephens</t>
  </si>
  <si>
    <t>Sara Schneider</t>
  </si>
  <si>
    <t>Kimberly Reyes</t>
  </si>
  <si>
    <t>Pamela Murray</t>
  </si>
  <si>
    <t>Mitchell Griffin</t>
  </si>
  <si>
    <t>Jill Taylor</t>
  </si>
  <si>
    <t>Ryan Sherman</t>
  </si>
  <si>
    <t>Brittany Miller</t>
  </si>
  <si>
    <t>Jordan Johnson</t>
  </si>
  <si>
    <t>Christina Smith</t>
  </si>
  <si>
    <t>Sean Johnson</t>
  </si>
  <si>
    <t>Matthew Davis</t>
  </si>
  <si>
    <t>Jane Roberson</t>
  </si>
  <si>
    <t>Michael Curtis</t>
  </si>
  <si>
    <t>Thomas Porter</t>
  </si>
  <si>
    <t>Gary Ward</t>
  </si>
  <si>
    <t>Richard Crawford</t>
  </si>
  <si>
    <t>Catherine Reid</t>
  </si>
  <si>
    <t>David Gross</t>
  </si>
  <si>
    <t>Lynn Garcia</t>
  </si>
  <si>
    <t>Jose Beasley</t>
  </si>
  <si>
    <t>Paula Russo</t>
  </si>
  <si>
    <t>Kara Solomon</t>
  </si>
  <si>
    <t>Crystal Brown</t>
  </si>
  <si>
    <t>Valerie Tyler</t>
  </si>
  <si>
    <t>Robert Neal</t>
  </si>
  <si>
    <t>Richard Mccormick DVM</t>
  </si>
  <si>
    <t>Alfred Howe</t>
  </si>
  <si>
    <t>Mr. Corey Brown</t>
  </si>
  <si>
    <t>Laura Holt</t>
  </si>
  <si>
    <t>Vanessa Erickson</t>
  </si>
  <si>
    <t>Daniel Hartman</t>
  </si>
  <si>
    <t>Brenda Herrera</t>
  </si>
  <si>
    <t>Nicholas Shepherd</t>
  </si>
  <si>
    <t>Jason Rogers</t>
  </si>
  <si>
    <t>Allison Carter</t>
  </si>
  <si>
    <t>Wanda Steele</t>
  </si>
  <si>
    <t>Christopher Jones</t>
  </si>
  <si>
    <t>Joel Mclaughlin</t>
  </si>
  <si>
    <t>Melvin Taylor</t>
  </si>
  <si>
    <t>Scott Heath</t>
  </si>
  <si>
    <t>Carol Jenkins</t>
  </si>
  <si>
    <t>Mary Maynard DDS</t>
  </si>
  <si>
    <t>Jason Macias</t>
  </si>
  <si>
    <t>Phillip Hoffman</t>
  </si>
  <si>
    <t>Angela Campbell</t>
  </si>
  <si>
    <t>Kristen Perry</t>
  </si>
  <si>
    <t>Tanya Obrien</t>
  </si>
  <si>
    <t>Phillip Cantrell</t>
  </si>
  <si>
    <t>Joseph Williams</t>
  </si>
  <si>
    <t>Jon Hobbs</t>
  </si>
  <si>
    <t>Breanna Terry</t>
  </si>
  <si>
    <t>Dorothy Green</t>
  </si>
  <si>
    <t>Amy Anderson</t>
  </si>
  <si>
    <t>Melissa King</t>
  </si>
  <si>
    <t>Megan Martinez</t>
  </si>
  <si>
    <t>Robert Guzman</t>
  </si>
  <si>
    <t>Michelle Hill</t>
  </si>
  <si>
    <t>Jaime Brown</t>
  </si>
  <si>
    <t>Tina Goodwin DVM</t>
  </si>
  <si>
    <t>Michael Williams</t>
  </si>
  <si>
    <t>Beth Summers</t>
  </si>
  <si>
    <t>Jill Lawson</t>
  </si>
  <si>
    <t>Patrick Green</t>
  </si>
  <si>
    <t>Melissa Brown</t>
  </si>
  <si>
    <t>Leslie Lopez</t>
  </si>
  <si>
    <t>Stephen Hernandez</t>
  </si>
  <si>
    <t>Barbara Erickson</t>
  </si>
  <si>
    <t>Kelly Ramirez</t>
  </si>
  <si>
    <t>Ashley Alvarez</t>
  </si>
  <si>
    <t>Renee Villa</t>
  </si>
  <si>
    <t>Tiffany Brown</t>
  </si>
  <si>
    <t>Alan Payne</t>
  </si>
  <si>
    <t>Sarah West</t>
  </si>
  <si>
    <t>Evan Collins</t>
  </si>
  <si>
    <t>Alexandra Johnson</t>
  </si>
  <si>
    <t>Raven Walter</t>
  </si>
  <si>
    <t>Frederick Payne</t>
  </si>
  <si>
    <t>Brenda Campbell</t>
  </si>
  <si>
    <t>Allison Hayes</t>
  </si>
  <si>
    <t>Maria Jones</t>
  </si>
  <si>
    <t>Daniel Daniels</t>
  </si>
  <si>
    <t>Kelly Hughes</t>
  </si>
  <si>
    <t>Jennifer Allison</t>
  </si>
  <si>
    <t>William Robbins</t>
  </si>
  <si>
    <t>Tracy Fernandez</t>
  </si>
  <si>
    <t>Miguel Neal</t>
  </si>
  <si>
    <t>Tara Walker</t>
  </si>
  <si>
    <t>Danielle Gomez</t>
  </si>
  <si>
    <t>Terri Ball</t>
  </si>
  <si>
    <t>Anna Harris</t>
  </si>
  <si>
    <t>Zachary Doyle</t>
  </si>
  <si>
    <t>Elizabeth Pham</t>
  </si>
  <si>
    <t>Michelle Rice</t>
  </si>
  <si>
    <t>Michael Campbell</t>
  </si>
  <si>
    <t>Alicia Holland</t>
  </si>
  <si>
    <t>Dennis Phillips</t>
  </si>
  <si>
    <t>Christopher Santana</t>
  </si>
  <si>
    <t>Timothy Mitchell</t>
  </si>
  <si>
    <t>Thomas Solis</t>
  </si>
  <si>
    <t>Lisa Jimenez</t>
  </si>
  <si>
    <t>Sherry Hart</t>
  </si>
  <si>
    <t>Terry Page</t>
  </si>
  <si>
    <t>Elizabeth Walker</t>
  </si>
  <si>
    <t>Charles Ward</t>
  </si>
  <si>
    <t>Stephanie Chan</t>
  </si>
  <si>
    <t>Susan Pennington</t>
  </si>
  <si>
    <t>Leslie Davis</t>
  </si>
  <si>
    <t>Shawn Vaughn</t>
  </si>
  <si>
    <t>Cheyenne Neal MD</t>
  </si>
  <si>
    <t>Daniel Villa</t>
  </si>
  <si>
    <t>Troy Johnson</t>
  </si>
  <si>
    <t>Jeremy Baker</t>
  </si>
  <si>
    <t>Rachel Adkins</t>
  </si>
  <si>
    <t>Bryan Cole</t>
  </si>
  <si>
    <t>Lawrence Miller</t>
  </si>
  <si>
    <t>Timothy Smith</t>
  </si>
  <si>
    <t>Daniel Contreras</t>
  </si>
  <si>
    <t>Luke Simpson</t>
  </si>
  <si>
    <t>Sonya Daniels</t>
  </si>
  <si>
    <t>Patricia Mccarthy</t>
  </si>
  <si>
    <t>Christina Bennett</t>
  </si>
  <si>
    <t>Michelle Bennett</t>
  </si>
  <si>
    <t>Randall Larsen</t>
  </si>
  <si>
    <t>Thomas Thompson</t>
  </si>
  <si>
    <t>Shawn Smith</t>
  </si>
  <si>
    <t>Shannon Carroll</t>
  </si>
  <si>
    <t>Crystal Hicks</t>
  </si>
  <si>
    <t>Frederick Castro</t>
  </si>
  <si>
    <t>Mary Myers</t>
  </si>
  <si>
    <t>Michael Howard</t>
  </si>
  <si>
    <t>Alexandra Walter</t>
  </si>
  <si>
    <t>William Palmer</t>
  </si>
  <si>
    <t>Pamela Mcdaniel</t>
  </si>
  <si>
    <t>Calvin Richards</t>
  </si>
  <si>
    <t>James Peterson</t>
  </si>
  <si>
    <t>Kelly Lopez</t>
  </si>
  <si>
    <t>William Ritter</t>
  </si>
  <si>
    <t>Lori Lynch</t>
  </si>
  <si>
    <t>Marvin Tucker</t>
  </si>
  <si>
    <t>Jessica Parks</t>
  </si>
  <si>
    <t>John Nichols</t>
  </si>
  <si>
    <t>Hannah Garner</t>
  </si>
  <si>
    <t>Ronnie Adkins</t>
  </si>
  <si>
    <t>Edward Barry</t>
  </si>
  <si>
    <t>David Alexander</t>
  </si>
  <si>
    <t>Paul Kim</t>
  </si>
  <si>
    <t>Connie Carter</t>
  </si>
  <si>
    <t>Jennifer Francis</t>
  </si>
  <si>
    <t>Charles Allen</t>
  </si>
  <si>
    <t>Jennifer Moon</t>
  </si>
  <si>
    <t>Kyle Payne</t>
  </si>
  <si>
    <t>Brianna Bush</t>
  </si>
  <si>
    <t>Joshua Cox</t>
  </si>
  <si>
    <t>Michael Bonilla</t>
  </si>
  <si>
    <t>Steven Saunders</t>
  </si>
  <si>
    <t>Antonio Martinez</t>
  </si>
  <si>
    <t>James Bennett</t>
  </si>
  <si>
    <t>Anthony Williams</t>
  </si>
  <si>
    <t>Bradley Ramirez</t>
  </si>
  <si>
    <t>Nancy Barnes</t>
  </si>
  <si>
    <t>Jonathan Doyle</t>
  </si>
  <si>
    <t>Barbara Skinner</t>
  </si>
  <si>
    <t>David Howard</t>
  </si>
  <si>
    <t>Regina Johnson</t>
  </si>
  <si>
    <t>Andrew Fitzgerald</t>
  </si>
  <si>
    <t>Janet Edwards</t>
  </si>
  <si>
    <t>Nicholas Peterson</t>
  </si>
  <si>
    <t>Albert Mitchell</t>
  </si>
  <si>
    <t>Nathaniel Perez</t>
  </si>
  <si>
    <t>Frank Schmitt</t>
  </si>
  <si>
    <t>Ian Fisher</t>
  </si>
  <si>
    <t>William Bennett</t>
  </si>
  <si>
    <t>Judith Arellano</t>
  </si>
  <si>
    <t>Melissa Booth</t>
  </si>
  <si>
    <t>Stephanie Washington</t>
  </si>
  <si>
    <t>Veronica Villarreal</t>
  </si>
  <si>
    <t>Brandy Padilla MD</t>
  </si>
  <si>
    <t>Pamela Singh</t>
  </si>
  <si>
    <t>Shaun Johnson</t>
  </si>
  <si>
    <t>Willie Ross</t>
  </si>
  <si>
    <t>Nichole Noble</t>
  </si>
  <si>
    <t>Mr. Timothy Wilson</t>
  </si>
  <si>
    <t>Erin Riley</t>
  </si>
  <si>
    <t>Helen Clark</t>
  </si>
  <si>
    <t>Heidi Dixon</t>
  </si>
  <si>
    <t>Michelle Wheeler</t>
  </si>
  <si>
    <t>Paul Trujillo</t>
  </si>
  <si>
    <t>Jennifer Valencia</t>
  </si>
  <si>
    <t>Megan Jones</t>
  </si>
  <si>
    <t>Juan Moore</t>
  </si>
  <si>
    <t>Catherine Mendoza</t>
  </si>
  <si>
    <t>Cody Lopez</t>
  </si>
  <si>
    <t>John Reed</t>
  </si>
  <si>
    <t>David Newton</t>
  </si>
  <si>
    <t>James Walker</t>
  </si>
  <si>
    <t>Jennifer Reyes</t>
  </si>
  <si>
    <t>Joseph Harris</t>
  </si>
  <si>
    <t>Rachael Sweeney</t>
  </si>
  <si>
    <t>Michele Wells</t>
  </si>
  <si>
    <t>Douglas Peterson</t>
  </si>
  <si>
    <t>Sophia Terry</t>
  </si>
  <si>
    <t>Katherine Small</t>
  </si>
  <si>
    <t>Donna Munoz</t>
  </si>
  <si>
    <t>Mrs. Deborah Hernandez</t>
  </si>
  <si>
    <t>Heidi Wood</t>
  </si>
  <si>
    <t>Andrea Dean</t>
  </si>
  <si>
    <t>Derrick White</t>
  </si>
  <si>
    <t>Jill Martinez</t>
  </si>
  <si>
    <t>Sharon Ayala</t>
  </si>
  <si>
    <t>Erika Alvarado</t>
  </si>
  <si>
    <t>Tiffany Mitchell</t>
  </si>
  <si>
    <t>Michael Harvey</t>
  </si>
  <si>
    <t>Richard Norton</t>
  </si>
  <si>
    <t>Judy Hall</t>
  </si>
  <si>
    <t>Dr. Jacob Abbott MD</t>
  </si>
  <si>
    <t>David Sims</t>
  </si>
  <si>
    <t>Nicholas Burke</t>
  </si>
  <si>
    <t>Tracy Lang</t>
  </si>
  <si>
    <t>Mary Gordon DDS</t>
  </si>
  <si>
    <t>Charlene Morris</t>
  </si>
  <si>
    <t>Anthony Weiss</t>
  </si>
  <si>
    <t>Craig Velez</t>
  </si>
  <si>
    <t>Annette Chang</t>
  </si>
  <si>
    <t>Roger Clark</t>
  </si>
  <si>
    <t>Erica Sandoval</t>
  </si>
  <si>
    <t>Rachel Mitchell</t>
  </si>
  <si>
    <t>Brenda Rodriguez</t>
  </si>
  <si>
    <t>M</t>
  </si>
  <si>
    <t>F</t>
  </si>
  <si>
    <t>Pediatrics</t>
  </si>
  <si>
    <t>Obstetrics</t>
  </si>
  <si>
    <t>Cardiology</t>
  </si>
  <si>
    <t>Neurology</t>
  </si>
  <si>
    <t>Oncology</t>
  </si>
  <si>
    <t>General Surgery</t>
  </si>
  <si>
    <t>Orthopedics</t>
  </si>
  <si>
    <t>Dr. Grace Eze</t>
  </si>
  <si>
    <t>Dr. Funke Adebayo</t>
  </si>
  <si>
    <t>Dr. Musa Bello</t>
  </si>
  <si>
    <t>Dr. Kelvin Ndukwe</t>
  </si>
  <si>
    <t>Dr. Aisha Lawal</t>
  </si>
  <si>
    <t>Dr. Tunde Cole</t>
  </si>
  <si>
    <t>Dr. Samuel Okoro</t>
  </si>
  <si>
    <t>Malaria</t>
  </si>
  <si>
    <t>Labour Complication</t>
  </si>
  <si>
    <t>Arrhythmia</t>
  </si>
  <si>
    <t>Stroke</t>
  </si>
  <si>
    <t>Lung Cancer</t>
  </si>
  <si>
    <t>Appendicitis</t>
  </si>
  <si>
    <t>Hernia</t>
  </si>
  <si>
    <t>Heart Failure</t>
  </si>
  <si>
    <t>Epilepsy</t>
  </si>
  <si>
    <t>Fracture</t>
  </si>
  <si>
    <t>Typhoid</t>
  </si>
  <si>
    <t>Arthritis</t>
  </si>
  <si>
    <t>Pre-eclampsia</t>
  </si>
  <si>
    <t>Breast Cancer</t>
  </si>
  <si>
    <t>Hypertension</t>
  </si>
  <si>
    <t>Length_of_Stay</t>
  </si>
  <si>
    <t>Grand Total</t>
  </si>
  <si>
    <t>Average of Length_of_Stay</t>
  </si>
  <si>
    <t>Age_Group</t>
  </si>
  <si>
    <t>Cost_Category</t>
  </si>
  <si>
    <t>Bill_Amount</t>
  </si>
  <si>
    <t>Surgery_Cost</t>
  </si>
  <si>
    <t>High</t>
  </si>
  <si>
    <t>Medium</t>
  </si>
  <si>
    <t>Data_Quality_Flag</t>
  </si>
  <si>
    <t>Cost_category</t>
  </si>
  <si>
    <t>Total_Cost</t>
  </si>
  <si>
    <t>Male</t>
  </si>
  <si>
    <t>Female</t>
  </si>
  <si>
    <t>Low</t>
  </si>
  <si>
    <t>Lab_Test conducted</t>
  </si>
  <si>
    <t>Average of Total_Cost</t>
  </si>
  <si>
    <t>Adults</t>
  </si>
  <si>
    <t>Children</t>
  </si>
  <si>
    <t>Older Adults</t>
  </si>
  <si>
    <t>Teenagers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</si>
</sst>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\-mm\-dd"/>
    <numFmt numFmtId="165" formatCode="[$-F800]dddd\,\ mmmm\ dd\,\ yyyy"/>
    <numFmt numFmtId="166" formatCode="[$₦-470]#,##0"/>
    <numFmt numFmtId="167" formatCode="[$₦-470]#,##0.00"/>
    <numFmt numFmtId="168" formatCode="[$-809]d\ mmmm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" fillId="0" borderId="0" xfId="0" applyFont="1"/>
    <xf numFmtId="0" fontId="2" fillId="4" borderId="3" xfId="0" applyFont="1" applyFill="1" applyBorder="1" applyAlignment="1">
      <alignment horizontal="center" vertical="top"/>
    </xf>
    <xf numFmtId="1" fontId="2" fillId="4" borderId="3" xfId="0" applyNumberFormat="1" applyFont="1" applyFill="1" applyBorder="1" applyAlignment="1">
      <alignment horizontal="center" vertical="top"/>
    </xf>
    <xf numFmtId="1" fontId="2" fillId="4" borderId="4" xfId="0" applyNumberFormat="1" applyFont="1" applyFill="1" applyBorder="1" applyAlignment="1">
      <alignment horizontal="center" vertical="top"/>
    </xf>
    <xf numFmtId="0" fontId="0" fillId="3" borderId="5" xfId="0" applyFill="1" applyBorder="1"/>
    <xf numFmtId="0" fontId="0" fillId="3" borderId="6" xfId="0" applyFill="1" applyBorder="1"/>
    <xf numFmtId="1" fontId="0" fillId="3" borderId="6" xfId="0" applyNumberFormat="1" applyFill="1" applyBorder="1"/>
    <xf numFmtId="1" fontId="0" fillId="3" borderId="7" xfId="0" applyNumberFormat="1" applyFill="1" applyBorder="1"/>
    <xf numFmtId="0" fontId="0" fillId="2" borderId="8" xfId="0" applyFill="1" applyBorder="1"/>
    <xf numFmtId="0" fontId="0" fillId="2" borderId="2" xfId="0" applyFill="1" applyBorder="1"/>
    <xf numFmtId="1" fontId="0" fillId="2" borderId="2" xfId="0" applyNumberFormat="1" applyFill="1" applyBorder="1"/>
    <xf numFmtId="0" fontId="0" fillId="3" borderId="8" xfId="0" applyFill="1" applyBorder="1"/>
    <xf numFmtId="0" fontId="0" fillId="3" borderId="2" xfId="0" applyFill="1" applyBorder="1"/>
    <xf numFmtId="1" fontId="0" fillId="3" borderId="2" xfId="0" applyNumberFormat="1" applyFill="1" applyBorder="1"/>
    <xf numFmtId="167" fontId="2" fillId="4" borderId="3" xfId="0" applyNumberFormat="1" applyFont="1" applyFill="1" applyBorder="1" applyAlignment="1">
      <alignment horizontal="center" vertical="top"/>
    </xf>
    <xf numFmtId="167" fontId="0" fillId="3" borderId="6" xfId="0" applyNumberFormat="1" applyFill="1" applyBorder="1"/>
    <xf numFmtId="167" fontId="0" fillId="3" borderId="2" xfId="0" applyNumberFormat="1" applyFill="1" applyBorder="1"/>
    <xf numFmtId="167" fontId="0" fillId="2" borderId="2" xfId="0" applyNumberFormat="1" applyFill="1" applyBorder="1"/>
    <xf numFmtId="167" fontId="0" fillId="0" borderId="0" xfId="0" applyNumberFormat="1"/>
    <xf numFmtId="168" fontId="2" fillId="4" borderId="3" xfId="0" applyNumberFormat="1" applyFont="1" applyFill="1" applyBorder="1" applyAlignment="1">
      <alignment horizontal="center" vertical="top"/>
    </xf>
    <xf numFmtId="168" fontId="0" fillId="3" borderId="6" xfId="0" applyNumberFormat="1" applyFill="1" applyBorder="1"/>
    <xf numFmtId="168" fontId="0" fillId="3" borderId="2" xfId="0" applyNumberFormat="1" applyFill="1" applyBorder="1"/>
    <xf numFmtId="168" fontId="0" fillId="2" borderId="2" xfId="0" applyNumberFormat="1" applyFill="1" applyBorder="1"/>
    <xf numFmtId="168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1">
    <dxf>
      <numFmt numFmtId="166" formatCode="[$₦-470]#,##0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₦-470]#,##0.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₦-470]#,##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809]d\ mmmm\ yyyy;@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809]d\ mmmm\ yyyy;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308.126784490742" createdVersion="8" refreshedVersion="6" minRefreshableVersion="3" recordCount="468">
  <cacheSource type="worksheet">
    <worksheetSource name="Table1"/>
  </cacheSource>
  <cacheFields count="19">
    <cacheField name="Patient_ID" numFmtId="0">
      <sharedItems/>
    </cacheField>
    <cacheField name="Name" numFmtId="0">
      <sharedItems/>
    </cacheField>
    <cacheField name="Age" numFmtId="1">
      <sharedItems containsSemiMixedTypes="0" containsString="0" containsNumber="1" containsInteger="1" minValue="1" maxValue="90"/>
    </cacheField>
    <cacheField name="Gender" numFmtId="0">
      <sharedItems/>
    </cacheField>
    <cacheField name="Department" numFmtId="0">
      <sharedItems count="7">
        <s v="Pediatrics"/>
        <s v="Cardiology"/>
        <s v="Neurology"/>
        <s v="Oncology"/>
        <s v="General Surgery"/>
        <s v="Orthopedics"/>
        <s v="Obstetrics"/>
      </sharedItems>
    </cacheField>
    <cacheField name="Doctor" numFmtId="0">
      <sharedItems/>
    </cacheField>
    <cacheField name="Diagnosis" numFmtId="0">
      <sharedItems count="15">
        <s v="Malaria"/>
        <s v="Arrhythmia"/>
        <s v="Stroke"/>
        <s v="Lung Cancer"/>
        <s v="Appendicitis"/>
        <s v="Hernia"/>
        <s v="Heart Failure"/>
        <s v="Epilepsy"/>
        <s v="Fracture"/>
        <s v="Typhoid"/>
        <s v="Arthritis"/>
        <s v="Pre-eclampsia"/>
        <s v="Breast Cancer"/>
        <s v="Hypertension"/>
        <s v="Labour Complication"/>
      </sharedItems>
    </cacheField>
    <cacheField name="Admission_Date" numFmtId="168">
      <sharedItems containsSemiMixedTypes="0" containsNonDate="0" containsDate="1" containsString="0" minDate="2025-03-29T00:00:00" maxDate="2025-05-26T00:00:00"/>
    </cacheField>
    <cacheField name="Discharge_Date" numFmtId="168">
      <sharedItems containsSemiMixedTypes="0" containsNonDate="0" containsDate="1" containsString="0" minDate="2025-04-02T00:00:00" maxDate="2025-06-09T00:00:00"/>
    </cacheField>
    <cacheField name="Bill_Amount" numFmtId="167">
      <sharedItems containsSemiMixedTypes="0" containsString="0" containsNumber="1" containsInteger="1" minValue="51701" maxValue="499174"/>
    </cacheField>
    <cacheField name="Lab_Tests_Conducted" numFmtId="1">
      <sharedItems containsSemiMixedTypes="0" containsString="0" containsNumber="1" containsInteger="1" minValue="1" maxValue="9" count="9">
        <n v="8"/>
        <n v="3"/>
        <n v="5"/>
        <n v="9"/>
        <n v="1"/>
        <n v="6"/>
        <n v="4"/>
        <n v="7"/>
        <n v="2"/>
      </sharedItems>
    </cacheField>
    <cacheField name="Medications_Administered" numFmtId="1">
      <sharedItems containsSemiMixedTypes="0" containsString="0" containsNumber="1" containsInteger="1" minValue="1" maxValue="19"/>
    </cacheField>
    <cacheField name="Nurses_Assigned" numFmtId="1">
      <sharedItems containsSemiMixedTypes="0" containsString="0" containsNumber="1" containsInteger="1" minValue="1" maxValue="4"/>
    </cacheField>
    <cacheField name="Surgery_Cost" numFmtId="167">
      <sharedItems containsSemiMixedTypes="0" containsString="0" containsNumber="1" containsInteger="1" minValue="0" maxValue="299843"/>
    </cacheField>
    <cacheField name="Length_of_Stay" numFmtId="1">
      <sharedItems containsSemiMixedTypes="0" containsString="0" containsNumber="1" containsInteger="1" minValue="2" maxValue="15" count="14">
        <n v="3"/>
        <n v="2"/>
        <n v="11"/>
        <n v="6"/>
        <n v="8"/>
        <n v="14"/>
        <n v="10"/>
        <n v="15"/>
        <n v="12"/>
        <n v="5"/>
        <n v="13"/>
        <n v="7"/>
        <n v="9"/>
        <n v="4"/>
      </sharedItems>
    </cacheField>
    <cacheField name="Age_Group" numFmtId="0">
      <sharedItems count="9">
        <s v="Adults"/>
        <s v="Children"/>
        <s v="Older Adults"/>
        <s v="Teenagers"/>
        <s v="Senior" u="1"/>
        <s v="Young Adult" u="1"/>
        <s v="Adult" u="1"/>
        <s v="Child" u="1"/>
        <s v="Old" u="1"/>
      </sharedItems>
    </cacheField>
    <cacheField name="Cost_Category" numFmtId="0">
      <sharedItems count="3">
        <s v="Low"/>
        <s v="High"/>
        <s v="Medium"/>
      </sharedItems>
    </cacheField>
    <cacheField name="Data_Quality_Flag" numFmtId="0">
      <sharedItems/>
    </cacheField>
    <cacheField name="Total_Cost" numFmtId="166">
      <sharedItems containsSemiMixedTypes="0" containsString="0" containsNumber="1" containsInteger="1" minValue="51701" maxValue="7717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8">
  <r>
    <s v="EKO1001"/>
    <s v="Philip Wagner"/>
    <n v="36"/>
    <s v="Male"/>
    <x v="0"/>
    <s v="Dr. Grace Eze"/>
    <x v="0"/>
    <d v="2025-04-13T00:00:00"/>
    <d v="2025-04-16T00:00:00"/>
    <n v="63112"/>
    <x v="0"/>
    <n v="11"/>
    <n v="2"/>
    <n v="0"/>
    <x v="0"/>
    <x v="0"/>
    <x v="0"/>
    <s v="OK"/>
    <n v="63112"/>
  </r>
  <r>
    <s v="EKO1003"/>
    <s v="Melvin Dunn"/>
    <n v="28"/>
    <s v="Male"/>
    <x v="1"/>
    <s v="Dr. Musa Bello"/>
    <x v="1"/>
    <d v="2025-05-14T00:00:00"/>
    <d v="2025-05-16T00:00:00"/>
    <n v="99123"/>
    <x v="1"/>
    <n v="13"/>
    <n v="4"/>
    <n v="0"/>
    <x v="1"/>
    <x v="0"/>
    <x v="0"/>
    <s v="OK"/>
    <n v="99123"/>
  </r>
  <r>
    <s v="EKO1004"/>
    <s v="Robin Rollins"/>
    <n v="26"/>
    <s v="Female"/>
    <x v="2"/>
    <s v="Dr. Kelvin Ndukwe"/>
    <x v="2"/>
    <d v="2025-04-21T00:00:00"/>
    <d v="2025-04-23T00:00:00"/>
    <n v="344254"/>
    <x v="2"/>
    <n v="6"/>
    <n v="1"/>
    <n v="0"/>
    <x v="1"/>
    <x v="0"/>
    <x v="1"/>
    <s v="OK"/>
    <n v="344254"/>
  </r>
  <r>
    <s v="EKO1005"/>
    <s v="Steve Thomas"/>
    <n v="1"/>
    <s v="Male"/>
    <x v="3"/>
    <s v="Dr. Aisha Lawal"/>
    <x v="3"/>
    <d v="2025-04-05T00:00:00"/>
    <d v="2025-04-16T00:00:00"/>
    <n v="195852"/>
    <x v="3"/>
    <n v="13"/>
    <n v="4"/>
    <n v="0"/>
    <x v="2"/>
    <x v="1"/>
    <x v="1"/>
    <s v="OK"/>
    <n v="195852"/>
  </r>
  <r>
    <s v="EKO1006"/>
    <s v="Brandi Watson"/>
    <n v="28"/>
    <s v="Female"/>
    <x v="4"/>
    <s v="Dr. Tunde Cole"/>
    <x v="4"/>
    <d v="2025-04-21T00:00:00"/>
    <d v="2025-04-27T00:00:00"/>
    <n v="131516"/>
    <x v="4"/>
    <n v="9"/>
    <n v="1"/>
    <n v="119574"/>
    <x v="3"/>
    <x v="0"/>
    <x v="2"/>
    <s v="OK"/>
    <n v="251090"/>
  </r>
  <r>
    <s v="EKO1007"/>
    <s v="Melissa Mccormick"/>
    <n v="46"/>
    <s v="Female"/>
    <x v="1"/>
    <s v="Dr. Musa Bello"/>
    <x v="1"/>
    <d v="2025-04-28T00:00:00"/>
    <d v="2025-05-06T00:00:00"/>
    <n v="100707"/>
    <x v="4"/>
    <n v="18"/>
    <n v="4"/>
    <n v="0"/>
    <x v="4"/>
    <x v="0"/>
    <x v="2"/>
    <s v="OK"/>
    <n v="100707"/>
  </r>
  <r>
    <s v="EKO1008"/>
    <s v="Joshua Goodman"/>
    <n v="59"/>
    <s v="Male"/>
    <x v="4"/>
    <s v="Dr. Tunde Cole"/>
    <x v="5"/>
    <d v="2025-04-30T00:00:00"/>
    <d v="2025-05-14T00:00:00"/>
    <n v="72780"/>
    <x v="1"/>
    <n v="3"/>
    <n v="1"/>
    <n v="271151"/>
    <x v="5"/>
    <x v="0"/>
    <x v="0"/>
    <s v="OK"/>
    <n v="343931"/>
  </r>
  <r>
    <s v="EKO1009"/>
    <s v="Paula Cooper"/>
    <n v="81"/>
    <s v="Female"/>
    <x v="1"/>
    <s v="Dr. Musa Bello"/>
    <x v="1"/>
    <d v="2025-05-22T00:00:00"/>
    <d v="2025-06-01T00:00:00"/>
    <n v="203709"/>
    <x v="2"/>
    <n v="13"/>
    <n v="4"/>
    <n v="0"/>
    <x v="6"/>
    <x v="2"/>
    <x v="1"/>
    <s v="OK"/>
    <n v="203709"/>
  </r>
  <r>
    <s v="EKO1011"/>
    <s v="Judith Smith"/>
    <n v="13"/>
    <s v="Female"/>
    <x v="1"/>
    <s v="Dr. Musa Bello"/>
    <x v="6"/>
    <d v="2025-05-14T00:00:00"/>
    <d v="2025-05-29T00:00:00"/>
    <n v="172049"/>
    <x v="5"/>
    <n v="4"/>
    <n v="3"/>
    <n v="0"/>
    <x v="7"/>
    <x v="3"/>
    <x v="1"/>
    <s v="OK"/>
    <n v="172049"/>
  </r>
  <r>
    <s v="EKO1012"/>
    <s v="Thomas Brown"/>
    <n v="47"/>
    <s v="Male"/>
    <x v="3"/>
    <s v="Dr. Aisha Lawal"/>
    <x v="3"/>
    <d v="2025-05-15T00:00:00"/>
    <d v="2025-05-27T00:00:00"/>
    <n v="487314"/>
    <x v="6"/>
    <n v="9"/>
    <n v="1"/>
    <n v="0"/>
    <x v="8"/>
    <x v="0"/>
    <x v="1"/>
    <s v="OK"/>
    <n v="487314"/>
  </r>
  <r>
    <s v="EKO1013"/>
    <s v="Michele Smith"/>
    <n v="35"/>
    <s v="Male"/>
    <x v="4"/>
    <s v="Dr. Tunde Cole"/>
    <x v="4"/>
    <d v="2025-04-15T00:00:00"/>
    <d v="2025-04-20T00:00:00"/>
    <n v="401364"/>
    <x v="7"/>
    <n v="18"/>
    <n v="4"/>
    <n v="193479"/>
    <x v="9"/>
    <x v="0"/>
    <x v="1"/>
    <s v="OK"/>
    <n v="594843"/>
  </r>
  <r>
    <s v="EKO1014"/>
    <s v="Janet King"/>
    <n v="21"/>
    <s v="Female"/>
    <x v="2"/>
    <s v="Dr. Kelvin Ndukwe"/>
    <x v="7"/>
    <d v="2025-05-06T00:00:00"/>
    <d v="2025-05-19T00:00:00"/>
    <n v="178351"/>
    <x v="5"/>
    <n v="6"/>
    <n v="1"/>
    <n v="0"/>
    <x v="10"/>
    <x v="0"/>
    <x v="1"/>
    <s v="OK"/>
    <n v="178351"/>
  </r>
  <r>
    <s v="EKO1015"/>
    <s v="Ronald Pearson"/>
    <n v="72"/>
    <s v="Male"/>
    <x v="4"/>
    <s v="Dr. Tunde Cole"/>
    <x v="5"/>
    <d v="2025-03-30T00:00:00"/>
    <d v="2025-04-11T00:00:00"/>
    <n v="410795"/>
    <x v="7"/>
    <n v="19"/>
    <n v="1"/>
    <n v="189345"/>
    <x v="8"/>
    <x v="2"/>
    <x v="1"/>
    <s v="OK"/>
    <n v="600140"/>
  </r>
  <r>
    <s v="EKO1016"/>
    <s v="Joe Guerrero"/>
    <n v="8"/>
    <s v="Male"/>
    <x v="5"/>
    <s v="Dr. Samuel Okoro"/>
    <x v="8"/>
    <d v="2025-04-04T00:00:00"/>
    <d v="2025-04-18T00:00:00"/>
    <n v="456847"/>
    <x v="5"/>
    <n v="16"/>
    <n v="4"/>
    <n v="0"/>
    <x v="5"/>
    <x v="1"/>
    <x v="1"/>
    <s v="OK"/>
    <n v="456847"/>
  </r>
  <r>
    <s v="EKO1017"/>
    <s v="Jasmine Gilbert"/>
    <n v="35"/>
    <s v="Male"/>
    <x v="5"/>
    <s v="Dr. Samuel Okoro"/>
    <x v="8"/>
    <d v="2025-04-20T00:00:00"/>
    <d v="2025-04-27T00:00:00"/>
    <n v="260325"/>
    <x v="3"/>
    <n v="18"/>
    <n v="4"/>
    <n v="0"/>
    <x v="11"/>
    <x v="0"/>
    <x v="1"/>
    <s v="OK"/>
    <n v="260325"/>
  </r>
  <r>
    <s v="EKO1018"/>
    <s v="Brandon Richard"/>
    <n v="28"/>
    <s v="Female"/>
    <x v="2"/>
    <s v="Dr. Kelvin Ndukwe"/>
    <x v="7"/>
    <d v="2025-04-11T00:00:00"/>
    <d v="2025-04-24T00:00:00"/>
    <n v="214981"/>
    <x v="5"/>
    <n v="14"/>
    <n v="4"/>
    <n v="0"/>
    <x v="10"/>
    <x v="0"/>
    <x v="1"/>
    <s v="OK"/>
    <n v="214981"/>
  </r>
  <r>
    <s v="EKO1019"/>
    <s v="Alexander Thornton"/>
    <n v="34"/>
    <s v="Male"/>
    <x v="0"/>
    <s v="Dr. Grace Eze"/>
    <x v="0"/>
    <d v="2025-04-14T00:00:00"/>
    <d v="2025-04-23T00:00:00"/>
    <n v="124905"/>
    <x v="8"/>
    <n v="2"/>
    <n v="2"/>
    <n v="0"/>
    <x v="12"/>
    <x v="0"/>
    <x v="2"/>
    <s v="OK"/>
    <n v="124905"/>
  </r>
  <r>
    <s v="EKO1020"/>
    <s v="William Mitchell"/>
    <n v="34"/>
    <s v="Female"/>
    <x v="0"/>
    <s v="Dr. Grace Eze"/>
    <x v="9"/>
    <d v="2025-04-05T00:00:00"/>
    <d v="2025-04-15T00:00:00"/>
    <n v="332579"/>
    <x v="8"/>
    <n v="17"/>
    <n v="1"/>
    <n v="0"/>
    <x v="6"/>
    <x v="0"/>
    <x v="1"/>
    <s v="OK"/>
    <n v="332579"/>
  </r>
  <r>
    <s v="EKO1021"/>
    <s v="Sara Hernandez"/>
    <n v="66"/>
    <s v="Female"/>
    <x v="4"/>
    <s v="Dr. Tunde Cole"/>
    <x v="4"/>
    <d v="2025-04-28T00:00:00"/>
    <d v="2025-05-03T00:00:00"/>
    <n v="122525"/>
    <x v="4"/>
    <n v="17"/>
    <n v="2"/>
    <n v="184302"/>
    <x v="9"/>
    <x v="2"/>
    <x v="2"/>
    <s v="OK"/>
    <n v="306827"/>
  </r>
  <r>
    <s v="EKO1022"/>
    <s v="Curtis Keller"/>
    <n v="20"/>
    <s v="Male"/>
    <x v="5"/>
    <s v="Dr. Samuel Okoro"/>
    <x v="10"/>
    <d v="2025-04-06T00:00:00"/>
    <d v="2025-04-08T00:00:00"/>
    <n v="107487"/>
    <x v="3"/>
    <n v="14"/>
    <n v="4"/>
    <n v="0"/>
    <x v="1"/>
    <x v="0"/>
    <x v="2"/>
    <s v="OK"/>
    <n v="107487"/>
  </r>
  <r>
    <s v="EKO1023"/>
    <s v="Kelly Robles"/>
    <n v="49"/>
    <s v="Female"/>
    <x v="2"/>
    <s v="Dr. Kelvin Ndukwe"/>
    <x v="7"/>
    <d v="2025-03-30T00:00:00"/>
    <d v="2025-04-02T00:00:00"/>
    <n v="251728"/>
    <x v="3"/>
    <n v="8"/>
    <n v="2"/>
    <n v="0"/>
    <x v="0"/>
    <x v="0"/>
    <x v="1"/>
    <s v="OK"/>
    <n v="251728"/>
  </r>
  <r>
    <s v="EKO1024"/>
    <s v="Bailey Tanner"/>
    <n v="88"/>
    <s v="Male"/>
    <x v="2"/>
    <s v="Dr. Kelvin Ndukwe"/>
    <x v="7"/>
    <d v="2025-04-09T00:00:00"/>
    <d v="2025-04-24T00:00:00"/>
    <n v="56019"/>
    <x v="0"/>
    <n v="19"/>
    <n v="1"/>
    <n v="0"/>
    <x v="7"/>
    <x v="2"/>
    <x v="0"/>
    <s v="OK"/>
    <n v="56019"/>
  </r>
  <r>
    <s v="EKO1025"/>
    <s v="Ann Maxwell"/>
    <n v="15"/>
    <s v="Female"/>
    <x v="5"/>
    <s v="Dr. Samuel Okoro"/>
    <x v="10"/>
    <d v="2025-04-04T00:00:00"/>
    <d v="2025-04-16T00:00:00"/>
    <n v="228349"/>
    <x v="8"/>
    <n v="15"/>
    <n v="3"/>
    <n v="0"/>
    <x v="8"/>
    <x v="3"/>
    <x v="1"/>
    <s v="OK"/>
    <n v="228349"/>
  </r>
  <r>
    <s v="EKO1026"/>
    <s v="Richard Richardson"/>
    <n v="34"/>
    <s v="Male"/>
    <x v="6"/>
    <s v="Dr. Funke Adebayo"/>
    <x v="11"/>
    <d v="2025-05-14T00:00:00"/>
    <d v="2025-05-23T00:00:00"/>
    <n v="51701"/>
    <x v="1"/>
    <n v="12"/>
    <n v="4"/>
    <n v="0"/>
    <x v="12"/>
    <x v="0"/>
    <x v="0"/>
    <s v="OK"/>
    <n v="51701"/>
  </r>
  <r>
    <s v="EKO1027"/>
    <s v="Dan Wolfe"/>
    <n v="82"/>
    <s v="Male"/>
    <x v="5"/>
    <s v="Dr. Samuel Okoro"/>
    <x v="8"/>
    <d v="2025-03-30T00:00:00"/>
    <d v="2025-04-11T00:00:00"/>
    <n v="206471"/>
    <x v="5"/>
    <n v="18"/>
    <n v="2"/>
    <n v="0"/>
    <x v="8"/>
    <x v="2"/>
    <x v="1"/>
    <s v="OK"/>
    <n v="206471"/>
  </r>
  <r>
    <s v="EKO1028"/>
    <s v="Melanie Anderson"/>
    <n v="70"/>
    <s v="Male"/>
    <x v="4"/>
    <s v="Dr. Tunde Cole"/>
    <x v="5"/>
    <d v="2025-05-11T00:00:00"/>
    <d v="2025-05-25T00:00:00"/>
    <n v="134698"/>
    <x v="0"/>
    <n v="1"/>
    <n v="1"/>
    <n v="254310"/>
    <x v="5"/>
    <x v="2"/>
    <x v="2"/>
    <s v="OK"/>
    <n v="389008"/>
  </r>
  <r>
    <s v="EKO1029"/>
    <s v="Tiffany Nguyen"/>
    <n v="47"/>
    <s v="Female"/>
    <x v="3"/>
    <s v="Dr. Aisha Lawal"/>
    <x v="12"/>
    <d v="2025-04-15T00:00:00"/>
    <d v="2025-04-17T00:00:00"/>
    <n v="108650"/>
    <x v="1"/>
    <n v="17"/>
    <n v="3"/>
    <n v="0"/>
    <x v="1"/>
    <x v="0"/>
    <x v="2"/>
    <s v="OK"/>
    <n v="108650"/>
  </r>
  <r>
    <s v="EKO1030"/>
    <s v="Curtis Brock"/>
    <n v="11"/>
    <s v="Male"/>
    <x v="1"/>
    <s v="Dr. Musa Bello"/>
    <x v="1"/>
    <d v="2025-05-11T00:00:00"/>
    <d v="2025-05-16T00:00:00"/>
    <n v="347458"/>
    <x v="6"/>
    <n v="5"/>
    <n v="3"/>
    <n v="0"/>
    <x v="9"/>
    <x v="1"/>
    <x v="1"/>
    <s v="OK"/>
    <n v="347458"/>
  </r>
  <r>
    <s v="EKO1031"/>
    <s v="David Thomas"/>
    <n v="69"/>
    <s v="Male"/>
    <x v="3"/>
    <s v="Dr. Aisha Lawal"/>
    <x v="12"/>
    <d v="2025-04-10T00:00:00"/>
    <d v="2025-04-25T00:00:00"/>
    <n v="86287"/>
    <x v="6"/>
    <n v="5"/>
    <n v="4"/>
    <n v="0"/>
    <x v="7"/>
    <x v="2"/>
    <x v="0"/>
    <s v="OK"/>
    <n v="86287"/>
  </r>
  <r>
    <s v="EKO1032"/>
    <s v="Mary Foley"/>
    <n v="22"/>
    <s v="Female"/>
    <x v="0"/>
    <s v="Dr. Grace Eze"/>
    <x v="9"/>
    <d v="2025-05-20T00:00:00"/>
    <d v="2025-05-29T00:00:00"/>
    <n v="338255"/>
    <x v="1"/>
    <n v="15"/>
    <n v="4"/>
    <n v="0"/>
    <x v="12"/>
    <x v="0"/>
    <x v="1"/>
    <s v="OK"/>
    <n v="338255"/>
  </r>
  <r>
    <s v="EKO1034"/>
    <s v="Cynthia Kirk"/>
    <n v="48"/>
    <s v="Female"/>
    <x v="3"/>
    <s v="Dr. Aisha Lawal"/>
    <x v="3"/>
    <d v="2025-04-03T00:00:00"/>
    <d v="2025-04-15T00:00:00"/>
    <n v="390723"/>
    <x v="8"/>
    <n v="19"/>
    <n v="4"/>
    <n v="0"/>
    <x v="8"/>
    <x v="0"/>
    <x v="1"/>
    <s v="OK"/>
    <n v="390723"/>
  </r>
  <r>
    <s v="EKO1035"/>
    <s v="Katrina Flores"/>
    <n v="9"/>
    <s v="Female"/>
    <x v="1"/>
    <s v="Dr. Musa Bello"/>
    <x v="13"/>
    <d v="2025-04-29T00:00:00"/>
    <d v="2025-05-04T00:00:00"/>
    <n v="167806"/>
    <x v="6"/>
    <n v="2"/>
    <n v="4"/>
    <n v="0"/>
    <x v="9"/>
    <x v="1"/>
    <x v="1"/>
    <s v="OK"/>
    <n v="167806"/>
  </r>
  <r>
    <s v="EKO1036"/>
    <s v="Lindsay Miller"/>
    <n v="76"/>
    <s v="Male"/>
    <x v="2"/>
    <s v="Dr. Kelvin Ndukwe"/>
    <x v="2"/>
    <d v="2025-05-03T00:00:00"/>
    <d v="2025-05-13T00:00:00"/>
    <n v="170646"/>
    <x v="2"/>
    <n v="9"/>
    <n v="1"/>
    <n v="0"/>
    <x v="6"/>
    <x v="2"/>
    <x v="1"/>
    <s v="OK"/>
    <n v="170646"/>
  </r>
  <r>
    <s v="EKO1037"/>
    <s v="Lorraine Riley"/>
    <n v="8"/>
    <s v="Male"/>
    <x v="1"/>
    <s v="Dr. Musa Bello"/>
    <x v="13"/>
    <d v="2025-05-16T00:00:00"/>
    <d v="2025-05-29T00:00:00"/>
    <n v="380879"/>
    <x v="0"/>
    <n v="10"/>
    <n v="4"/>
    <n v="0"/>
    <x v="10"/>
    <x v="1"/>
    <x v="1"/>
    <s v="OK"/>
    <n v="380879"/>
  </r>
  <r>
    <s v="EKO1038"/>
    <s v="Elizabeth Baker"/>
    <n v="10"/>
    <s v="Male"/>
    <x v="1"/>
    <s v="Dr. Musa Bello"/>
    <x v="6"/>
    <d v="2025-05-17T00:00:00"/>
    <d v="2025-06-01T00:00:00"/>
    <n v="223239"/>
    <x v="4"/>
    <n v="7"/>
    <n v="2"/>
    <n v="0"/>
    <x v="7"/>
    <x v="1"/>
    <x v="1"/>
    <s v="OK"/>
    <n v="223239"/>
  </r>
  <r>
    <s v="EKO1039"/>
    <s v="Kayla Thompson"/>
    <n v="70"/>
    <s v="Male"/>
    <x v="0"/>
    <s v="Dr. Grace Eze"/>
    <x v="9"/>
    <d v="2025-04-15T00:00:00"/>
    <d v="2025-04-24T00:00:00"/>
    <n v="162321"/>
    <x v="2"/>
    <n v="11"/>
    <n v="2"/>
    <n v="0"/>
    <x v="12"/>
    <x v="2"/>
    <x v="1"/>
    <s v="OK"/>
    <n v="162321"/>
  </r>
  <r>
    <s v="EKO1040"/>
    <s v="Kristin Salinas"/>
    <n v="53"/>
    <s v="Male"/>
    <x v="6"/>
    <s v="Dr. Funke Adebayo"/>
    <x v="11"/>
    <d v="2025-04-08T00:00:00"/>
    <d v="2025-04-22T00:00:00"/>
    <n v="297974"/>
    <x v="5"/>
    <n v="19"/>
    <n v="3"/>
    <n v="0"/>
    <x v="5"/>
    <x v="0"/>
    <x v="1"/>
    <s v="OK"/>
    <n v="297974"/>
  </r>
  <r>
    <s v="EKO1041"/>
    <s v="Wendy Hill"/>
    <n v="46"/>
    <s v="Female"/>
    <x v="1"/>
    <s v="Dr. Musa Bello"/>
    <x v="6"/>
    <d v="2025-04-20T00:00:00"/>
    <d v="2025-05-02T00:00:00"/>
    <n v="275994"/>
    <x v="1"/>
    <n v="12"/>
    <n v="3"/>
    <n v="0"/>
    <x v="8"/>
    <x v="0"/>
    <x v="1"/>
    <s v="OK"/>
    <n v="275994"/>
  </r>
  <r>
    <s v="EKO1042"/>
    <s v="Andrew Hawkins"/>
    <n v="7"/>
    <s v="Male"/>
    <x v="3"/>
    <s v="Dr. Aisha Lawal"/>
    <x v="12"/>
    <d v="2025-05-12T00:00:00"/>
    <d v="2025-05-27T00:00:00"/>
    <n v="432245"/>
    <x v="7"/>
    <n v="6"/>
    <n v="1"/>
    <n v="0"/>
    <x v="7"/>
    <x v="1"/>
    <x v="1"/>
    <s v="OK"/>
    <n v="432245"/>
  </r>
  <r>
    <s v="EKO1043"/>
    <s v="Holly Gray"/>
    <n v="14"/>
    <s v="Male"/>
    <x v="3"/>
    <s v="Dr. Aisha Lawal"/>
    <x v="12"/>
    <d v="2025-05-18T00:00:00"/>
    <d v="2025-05-31T00:00:00"/>
    <n v="227892"/>
    <x v="6"/>
    <n v="2"/>
    <n v="3"/>
    <n v="0"/>
    <x v="10"/>
    <x v="3"/>
    <x v="1"/>
    <s v="OK"/>
    <n v="227892"/>
  </r>
  <r>
    <s v="EKO1044"/>
    <s v="Jason Wagner"/>
    <n v="18"/>
    <s v="Female"/>
    <x v="6"/>
    <s v="Dr. Funke Adebayo"/>
    <x v="11"/>
    <d v="2025-05-03T00:00:00"/>
    <d v="2025-05-13T00:00:00"/>
    <n v="285202"/>
    <x v="3"/>
    <n v="8"/>
    <n v="3"/>
    <n v="0"/>
    <x v="6"/>
    <x v="3"/>
    <x v="1"/>
    <s v="OK"/>
    <n v="285202"/>
  </r>
  <r>
    <s v="EKO1045"/>
    <s v="Michael Gonzalez"/>
    <n v="10"/>
    <s v="Female"/>
    <x v="4"/>
    <s v="Dr. Tunde Cole"/>
    <x v="4"/>
    <d v="2025-04-25T00:00:00"/>
    <d v="2025-05-04T00:00:00"/>
    <n v="180970"/>
    <x v="1"/>
    <n v="17"/>
    <n v="1"/>
    <n v="288935"/>
    <x v="12"/>
    <x v="1"/>
    <x v="1"/>
    <s v="OK"/>
    <n v="469905"/>
  </r>
  <r>
    <s v="EKO1046"/>
    <s v="Debbie Vasquez"/>
    <n v="2"/>
    <s v="Male"/>
    <x v="1"/>
    <s v="Dr. Musa Bello"/>
    <x v="13"/>
    <d v="2025-04-03T00:00:00"/>
    <d v="2025-04-15T00:00:00"/>
    <n v="333423"/>
    <x v="8"/>
    <n v="5"/>
    <n v="4"/>
    <n v="0"/>
    <x v="8"/>
    <x v="1"/>
    <x v="1"/>
    <s v="OK"/>
    <n v="333423"/>
  </r>
  <r>
    <s v="EKO1048"/>
    <s v="Alejandro White"/>
    <n v="1"/>
    <s v="Female"/>
    <x v="1"/>
    <s v="Dr. Musa Bello"/>
    <x v="6"/>
    <d v="2025-04-13T00:00:00"/>
    <d v="2025-04-17T00:00:00"/>
    <n v="248691"/>
    <x v="0"/>
    <n v="7"/>
    <n v="4"/>
    <n v="0"/>
    <x v="13"/>
    <x v="1"/>
    <x v="1"/>
    <s v="OK"/>
    <n v="248691"/>
  </r>
  <r>
    <s v="EKO1049"/>
    <s v="Jessica Sanders"/>
    <n v="37"/>
    <s v="Female"/>
    <x v="5"/>
    <s v="Dr. Samuel Okoro"/>
    <x v="10"/>
    <d v="2025-04-20T00:00:00"/>
    <d v="2025-05-04T00:00:00"/>
    <n v="288555"/>
    <x v="3"/>
    <n v="17"/>
    <n v="1"/>
    <n v="0"/>
    <x v="5"/>
    <x v="0"/>
    <x v="1"/>
    <s v="OK"/>
    <n v="288555"/>
  </r>
  <r>
    <s v="EKO1050"/>
    <s v="Anthony Woodward"/>
    <n v="28"/>
    <s v="Male"/>
    <x v="6"/>
    <s v="Dr. Funke Adebayo"/>
    <x v="11"/>
    <d v="2025-04-09T00:00:00"/>
    <d v="2025-04-14T00:00:00"/>
    <n v="205560"/>
    <x v="7"/>
    <n v="4"/>
    <n v="3"/>
    <n v="0"/>
    <x v="9"/>
    <x v="0"/>
    <x v="1"/>
    <s v="OK"/>
    <n v="205560"/>
  </r>
  <r>
    <s v="EKO1051"/>
    <s v="Raymond Wagner"/>
    <n v="7"/>
    <s v="Female"/>
    <x v="0"/>
    <s v="Dr. Grace Eze"/>
    <x v="0"/>
    <d v="2025-05-14T00:00:00"/>
    <d v="2025-05-21T00:00:00"/>
    <n v="79971"/>
    <x v="5"/>
    <n v="9"/>
    <n v="2"/>
    <n v="0"/>
    <x v="11"/>
    <x v="1"/>
    <x v="0"/>
    <s v="OK"/>
    <n v="79971"/>
  </r>
  <r>
    <s v="EKO1052"/>
    <s v="Grace James"/>
    <n v="24"/>
    <s v="Male"/>
    <x v="1"/>
    <s v="Dr. Musa Bello"/>
    <x v="1"/>
    <d v="2025-05-17T00:00:00"/>
    <d v="2025-05-27T00:00:00"/>
    <n v="92001"/>
    <x v="6"/>
    <n v="7"/>
    <n v="1"/>
    <n v="0"/>
    <x v="6"/>
    <x v="0"/>
    <x v="0"/>
    <s v="OK"/>
    <n v="92001"/>
  </r>
  <r>
    <s v="EKO1053"/>
    <s v="Monique Meyer"/>
    <n v="52"/>
    <s v="Male"/>
    <x v="1"/>
    <s v="Dr. Musa Bello"/>
    <x v="1"/>
    <d v="2025-04-30T00:00:00"/>
    <d v="2025-05-12T00:00:00"/>
    <n v="173314"/>
    <x v="3"/>
    <n v="1"/>
    <n v="1"/>
    <n v="0"/>
    <x v="8"/>
    <x v="0"/>
    <x v="1"/>
    <s v="OK"/>
    <n v="173314"/>
  </r>
  <r>
    <s v="EKO1055"/>
    <s v="Todd Haynes"/>
    <n v="67"/>
    <s v="Female"/>
    <x v="0"/>
    <s v="Dr. Grace Eze"/>
    <x v="9"/>
    <d v="2025-05-14T00:00:00"/>
    <d v="2025-05-25T00:00:00"/>
    <n v="346341"/>
    <x v="2"/>
    <n v="5"/>
    <n v="3"/>
    <n v="0"/>
    <x v="2"/>
    <x v="2"/>
    <x v="1"/>
    <s v="OK"/>
    <n v="346341"/>
  </r>
  <r>
    <s v="EKO1057"/>
    <s v="Adam Wood"/>
    <n v="83"/>
    <s v="Female"/>
    <x v="3"/>
    <s v="Dr. Aisha Lawal"/>
    <x v="3"/>
    <d v="2025-04-06T00:00:00"/>
    <d v="2025-04-10T00:00:00"/>
    <n v="402159"/>
    <x v="6"/>
    <n v="2"/>
    <n v="3"/>
    <n v="0"/>
    <x v="13"/>
    <x v="2"/>
    <x v="1"/>
    <s v="OK"/>
    <n v="402159"/>
  </r>
  <r>
    <s v="EKO1058"/>
    <s v="Holly Turner"/>
    <n v="2"/>
    <s v="Female"/>
    <x v="4"/>
    <s v="Dr. Tunde Cole"/>
    <x v="4"/>
    <d v="2025-05-17T00:00:00"/>
    <d v="2025-05-31T00:00:00"/>
    <n v="88033"/>
    <x v="1"/>
    <n v="1"/>
    <n v="4"/>
    <n v="269687"/>
    <x v="5"/>
    <x v="1"/>
    <x v="0"/>
    <s v="OK"/>
    <n v="357720"/>
  </r>
  <r>
    <s v="EKO1059"/>
    <s v="Crystal Grimes"/>
    <n v="65"/>
    <s v="Female"/>
    <x v="1"/>
    <s v="Dr. Musa Bello"/>
    <x v="13"/>
    <d v="2025-05-14T00:00:00"/>
    <d v="2025-05-24T00:00:00"/>
    <n v="161754"/>
    <x v="2"/>
    <n v="4"/>
    <n v="1"/>
    <n v="0"/>
    <x v="6"/>
    <x v="2"/>
    <x v="1"/>
    <s v="OK"/>
    <n v="161754"/>
  </r>
  <r>
    <s v="EKO1060"/>
    <s v="Peter Davis"/>
    <n v="48"/>
    <s v="Female"/>
    <x v="4"/>
    <s v="Dr. Tunde Cole"/>
    <x v="4"/>
    <d v="2025-05-22T00:00:00"/>
    <d v="2025-05-25T00:00:00"/>
    <n v="178075"/>
    <x v="7"/>
    <n v="19"/>
    <n v="3"/>
    <n v="179024"/>
    <x v="0"/>
    <x v="0"/>
    <x v="1"/>
    <s v="OK"/>
    <n v="357099"/>
  </r>
  <r>
    <s v="EKO1061"/>
    <s v="Christopher Moore"/>
    <n v="39"/>
    <s v="Male"/>
    <x v="3"/>
    <s v="Dr. Aisha Lawal"/>
    <x v="3"/>
    <d v="2025-04-17T00:00:00"/>
    <d v="2025-05-02T00:00:00"/>
    <n v="334802"/>
    <x v="8"/>
    <n v="12"/>
    <n v="4"/>
    <n v="0"/>
    <x v="7"/>
    <x v="0"/>
    <x v="1"/>
    <s v="OK"/>
    <n v="334802"/>
  </r>
  <r>
    <s v="EKO1062"/>
    <s v="Michelle Patterson"/>
    <n v="34"/>
    <s v="Male"/>
    <x v="0"/>
    <s v="Dr. Grace Eze"/>
    <x v="0"/>
    <d v="2025-04-15T00:00:00"/>
    <d v="2025-04-18T00:00:00"/>
    <n v="120407"/>
    <x v="3"/>
    <n v="6"/>
    <n v="3"/>
    <n v="0"/>
    <x v="0"/>
    <x v="0"/>
    <x v="2"/>
    <s v="OK"/>
    <n v="120407"/>
  </r>
  <r>
    <s v="EKO1063"/>
    <s v="Robert Ramirez"/>
    <n v="35"/>
    <s v="Female"/>
    <x v="0"/>
    <s v="Dr. Grace Eze"/>
    <x v="0"/>
    <d v="2025-04-22T00:00:00"/>
    <d v="2025-05-02T00:00:00"/>
    <n v="131499"/>
    <x v="2"/>
    <n v="11"/>
    <n v="2"/>
    <n v="0"/>
    <x v="6"/>
    <x v="0"/>
    <x v="2"/>
    <s v="OK"/>
    <n v="131499"/>
  </r>
  <r>
    <s v="EKO1064"/>
    <s v="Patricia Ferguson"/>
    <n v="88"/>
    <s v="Female"/>
    <x v="0"/>
    <s v="Dr. Grace Eze"/>
    <x v="9"/>
    <d v="2025-05-24T00:00:00"/>
    <d v="2025-05-31T00:00:00"/>
    <n v="156743"/>
    <x v="6"/>
    <n v="13"/>
    <n v="1"/>
    <n v="0"/>
    <x v="11"/>
    <x v="2"/>
    <x v="1"/>
    <s v="OK"/>
    <n v="156743"/>
  </r>
  <r>
    <s v="EKO1065"/>
    <s v="Jennifer Hood"/>
    <n v="12"/>
    <s v="Female"/>
    <x v="4"/>
    <s v="Dr. Tunde Cole"/>
    <x v="5"/>
    <d v="2025-04-01T00:00:00"/>
    <d v="2025-04-16T00:00:00"/>
    <n v="76633"/>
    <x v="5"/>
    <n v="3"/>
    <n v="1"/>
    <n v="143345"/>
    <x v="7"/>
    <x v="1"/>
    <x v="0"/>
    <s v="OK"/>
    <n v="219978"/>
  </r>
  <r>
    <s v="EKO1066"/>
    <s v="Anthony Olson"/>
    <n v="17"/>
    <s v="Female"/>
    <x v="1"/>
    <s v="Dr. Musa Bello"/>
    <x v="13"/>
    <d v="2025-04-10T00:00:00"/>
    <d v="2025-04-12T00:00:00"/>
    <n v="224879"/>
    <x v="7"/>
    <n v="7"/>
    <n v="1"/>
    <n v="0"/>
    <x v="1"/>
    <x v="3"/>
    <x v="1"/>
    <s v="OK"/>
    <n v="224879"/>
  </r>
  <r>
    <s v="EKO1067"/>
    <s v="Paula Jimenez"/>
    <n v="55"/>
    <s v="Male"/>
    <x v="0"/>
    <s v="Dr. Grace Eze"/>
    <x v="0"/>
    <d v="2025-04-05T00:00:00"/>
    <d v="2025-04-14T00:00:00"/>
    <n v="339239"/>
    <x v="8"/>
    <n v="8"/>
    <n v="3"/>
    <n v="0"/>
    <x v="12"/>
    <x v="0"/>
    <x v="1"/>
    <s v="OK"/>
    <n v="339239"/>
  </r>
  <r>
    <s v="EKO1068"/>
    <s v="Paul Henderson"/>
    <n v="70"/>
    <s v="Male"/>
    <x v="1"/>
    <s v="Dr. Musa Bello"/>
    <x v="6"/>
    <d v="2025-05-06T00:00:00"/>
    <d v="2025-05-19T00:00:00"/>
    <n v="128147"/>
    <x v="3"/>
    <n v="2"/>
    <n v="4"/>
    <n v="0"/>
    <x v="10"/>
    <x v="2"/>
    <x v="2"/>
    <s v="OK"/>
    <n v="128147"/>
  </r>
  <r>
    <s v="EKO1069"/>
    <s v="Ashley Hall"/>
    <n v="56"/>
    <s v="Male"/>
    <x v="2"/>
    <s v="Dr. Kelvin Ndukwe"/>
    <x v="2"/>
    <d v="2025-05-21T00:00:00"/>
    <d v="2025-05-31T00:00:00"/>
    <n v="127643"/>
    <x v="6"/>
    <n v="3"/>
    <n v="3"/>
    <n v="0"/>
    <x v="6"/>
    <x v="0"/>
    <x v="2"/>
    <s v="OK"/>
    <n v="127643"/>
  </r>
  <r>
    <s v="EKO1070"/>
    <s v="Jessica Baldwin"/>
    <n v="6"/>
    <s v="Female"/>
    <x v="4"/>
    <s v="Dr. Tunde Cole"/>
    <x v="4"/>
    <d v="2025-04-21T00:00:00"/>
    <d v="2025-04-28T00:00:00"/>
    <n v="467397"/>
    <x v="0"/>
    <n v="12"/>
    <n v="3"/>
    <n v="164668"/>
    <x v="11"/>
    <x v="1"/>
    <x v="1"/>
    <s v="OK"/>
    <n v="632065"/>
  </r>
  <r>
    <s v="EKO1071"/>
    <s v="Terry Gutierrez"/>
    <n v="14"/>
    <s v="Female"/>
    <x v="0"/>
    <s v="Dr. Grace Eze"/>
    <x v="9"/>
    <d v="2025-04-06T00:00:00"/>
    <d v="2025-04-11T00:00:00"/>
    <n v="399665"/>
    <x v="0"/>
    <n v="18"/>
    <n v="1"/>
    <n v="0"/>
    <x v="9"/>
    <x v="3"/>
    <x v="1"/>
    <s v="OK"/>
    <n v="399665"/>
  </r>
  <r>
    <s v="EKO1072"/>
    <s v="Robert Chandler"/>
    <n v="31"/>
    <s v="Male"/>
    <x v="2"/>
    <s v="Dr. Kelvin Ndukwe"/>
    <x v="2"/>
    <d v="2025-05-01T00:00:00"/>
    <d v="2025-05-14T00:00:00"/>
    <n v="131030"/>
    <x v="6"/>
    <n v="14"/>
    <n v="4"/>
    <n v="0"/>
    <x v="10"/>
    <x v="0"/>
    <x v="2"/>
    <s v="OK"/>
    <n v="131030"/>
  </r>
  <r>
    <s v="EKO1073"/>
    <s v="Curtis Evans"/>
    <n v="43"/>
    <s v="Female"/>
    <x v="3"/>
    <s v="Dr. Aisha Lawal"/>
    <x v="12"/>
    <d v="2025-04-15T00:00:00"/>
    <d v="2025-04-17T00:00:00"/>
    <n v="144036"/>
    <x v="4"/>
    <n v="15"/>
    <n v="3"/>
    <n v="0"/>
    <x v="1"/>
    <x v="0"/>
    <x v="2"/>
    <s v="OK"/>
    <n v="144036"/>
  </r>
  <r>
    <s v="EKO1074"/>
    <s v="Mary Nash"/>
    <n v="90"/>
    <s v="Male"/>
    <x v="4"/>
    <s v="Dr. Tunde Cole"/>
    <x v="5"/>
    <d v="2025-04-03T00:00:00"/>
    <d v="2025-04-07T00:00:00"/>
    <n v="462811"/>
    <x v="8"/>
    <n v="9"/>
    <n v="2"/>
    <n v="145336"/>
    <x v="13"/>
    <x v="2"/>
    <x v="1"/>
    <s v="OK"/>
    <n v="608147"/>
  </r>
  <r>
    <s v="EKO1075"/>
    <s v="Peggy Alvarado"/>
    <n v="29"/>
    <s v="Male"/>
    <x v="5"/>
    <s v="Dr. Samuel Okoro"/>
    <x v="10"/>
    <d v="2025-05-14T00:00:00"/>
    <d v="2025-05-16T00:00:00"/>
    <n v="296777"/>
    <x v="3"/>
    <n v="5"/>
    <n v="4"/>
    <n v="0"/>
    <x v="1"/>
    <x v="0"/>
    <x v="1"/>
    <s v="OK"/>
    <n v="296777"/>
  </r>
  <r>
    <s v="EKO1076"/>
    <s v="Nicole Snow"/>
    <n v="30"/>
    <s v="Male"/>
    <x v="4"/>
    <s v="Dr. Tunde Cole"/>
    <x v="4"/>
    <d v="2025-04-07T00:00:00"/>
    <d v="2025-04-13T00:00:00"/>
    <n v="480197"/>
    <x v="0"/>
    <n v="3"/>
    <n v="1"/>
    <n v="133852"/>
    <x v="3"/>
    <x v="0"/>
    <x v="1"/>
    <s v="OK"/>
    <n v="614049"/>
  </r>
  <r>
    <s v="EKO1077"/>
    <s v="Ian Higgins"/>
    <n v="43"/>
    <s v="Female"/>
    <x v="0"/>
    <s v="Dr. Grace Eze"/>
    <x v="0"/>
    <d v="2025-04-10T00:00:00"/>
    <d v="2025-04-15T00:00:00"/>
    <n v="258910"/>
    <x v="6"/>
    <n v="9"/>
    <n v="4"/>
    <n v="0"/>
    <x v="9"/>
    <x v="0"/>
    <x v="1"/>
    <s v="OK"/>
    <n v="258910"/>
  </r>
  <r>
    <s v="EKO1078"/>
    <s v="Jennifer Norman"/>
    <n v="83"/>
    <s v="Female"/>
    <x v="5"/>
    <s v="Dr. Samuel Okoro"/>
    <x v="10"/>
    <d v="2025-05-01T00:00:00"/>
    <d v="2025-05-07T00:00:00"/>
    <n v="234101"/>
    <x v="4"/>
    <n v="17"/>
    <n v="4"/>
    <n v="0"/>
    <x v="3"/>
    <x v="2"/>
    <x v="1"/>
    <s v="OK"/>
    <n v="234101"/>
  </r>
  <r>
    <s v="EKO1079"/>
    <s v="Destiny Welch"/>
    <n v="23"/>
    <s v="Female"/>
    <x v="1"/>
    <s v="Dr. Musa Bello"/>
    <x v="13"/>
    <d v="2025-05-04T00:00:00"/>
    <d v="2025-05-07T00:00:00"/>
    <n v="186951"/>
    <x v="3"/>
    <n v="16"/>
    <n v="4"/>
    <n v="0"/>
    <x v="0"/>
    <x v="0"/>
    <x v="1"/>
    <s v="OK"/>
    <n v="186951"/>
  </r>
  <r>
    <s v="EKO1080"/>
    <s v="Paul Bond"/>
    <n v="45"/>
    <s v="Female"/>
    <x v="1"/>
    <s v="Dr. Musa Bello"/>
    <x v="6"/>
    <d v="2025-04-26T00:00:00"/>
    <d v="2025-05-07T00:00:00"/>
    <n v="277836"/>
    <x v="1"/>
    <n v="12"/>
    <n v="1"/>
    <n v="0"/>
    <x v="2"/>
    <x v="0"/>
    <x v="1"/>
    <s v="OK"/>
    <n v="277836"/>
  </r>
  <r>
    <s v="EKO1081"/>
    <s v="Johnny Taylor"/>
    <n v="50"/>
    <s v="Male"/>
    <x v="2"/>
    <s v="Dr. Kelvin Ndukwe"/>
    <x v="7"/>
    <d v="2025-05-09T00:00:00"/>
    <d v="2025-05-19T00:00:00"/>
    <n v="110631"/>
    <x v="0"/>
    <n v="12"/>
    <n v="1"/>
    <n v="0"/>
    <x v="6"/>
    <x v="0"/>
    <x v="2"/>
    <s v="OK"/>
    <n v="110631"/>
  </r>
  <r>
    <s v="EKO1082"/>
    <s v="Amanda Keller"/>
    <n v="1"/>
    <s v="Male"/>
    <x v="1"/>
    <s v="Dr. Musa Bello"/>
    <x v="6"/>
    <d v="2025-05-10T00:00:00"/>
    <d v="2025-05-23T00:00:00"/>
    <n v="278619"/>
    <x v="1"/>
    <n v="18"/>
    <n v="1"/>
    <n v="0"/>
    <x v="10"/>
    <x v="1"/>
    <x v="1"/>
    <s v="OK"/>
    <n v="278619"/>
  </r>
  <r>
    <s v="EKO1083"/>
    <s v="Amber Long"/>
    <n v="43"/>
    <s v="Female"/>
    <x v="3"/>
    <s v="Dr. Aisha Lawal"/>
    <x v="12"/>
    <d v="2025-04-24T00:00:00"/>
    <d v="2025-04-27T00:00:00"/>
    <n v="398251"/>
    <x v="2"/>
    <n v="5"/>
    <n v="1"/>
    <n v="0"/>
    <x v="0"/>
    <x v="0"/>
    <x v="1"/>
    <s v="OK"/>
    <n v="398251"/>
  </r>
  <r>
    <s v="EKO1084"/>
    <s v="Kimberly Jenkins"/>
    <n v="40"/>
    <s v="Female"/>
    <x v="0"/>
    <s v="Dr. Grace Eze"/>
    <x v="9"/>
    <d v="2025-04-15T00:00:00"/>
    <d v="2025-04-21T00:00:00"/>
    <n v="315878"/>
    <x v="6"/>
    <n v="2"/>
    <n v="4"/>
    <n v="0"/>
    <x v="3"/>
    <x v="0"/>
    <x v="1"/>
    <s v="OK"/>
    <n v="315878"/>
  </r>
  <r>
    <s v="EKO1085"/>
    <s v="Kimberly Anderson"/>
    <n v="71"/>
    <s v="Male"/>
    <x v="3"/>
    <s v="Dr. Aisha Lawal"/>
    <x v="12"/>
    <d v="2025-04-30T00:00:00"/>
    <d v="2025-05-13T00:00:00"/>
    <n v="205008"/>
    <x v="2"/>
    <n v="14"/>
    <n v="1"/>
    <n v="0"/>
    <x v="10"/>
    <x v="2"/>
    <x v="1"/>
    <s v="OK"/>
    <n v="205008"/>
  </r>
  <r>
    <s v="EKO1086"/>
    <s v="Sarah Palmer"/>
    <n v="87"/>
    <s v="Male"/>
    <x v="3"/>
    <s v="Dr. Aisha Lawal"/>
    <x v="3"/>
    <d v="2025-04-01T00:00:00"/>
    <d v="2025-04-13T00:00:00"/>
    <n v="248781"/>
    <x v="5"/>
    <n v="4"/>
    <n v="1"/>
    <n v="0"/>
    <x v="8"/>
    <x v="2"/>
    <x v="1"/>
    <s v="OK"/>
    <n v="248781"/>
  </r>
  <r>
    <s v="EKO1087"/>
    <s v="Bonnie Monroe"/>
    <n v="1"/>
    <s v="Female"/>
    <x v="3"/>
    <s v="Dr. Aisha Lawal"/>
    <x v="3"/>
    <d v="2025-03-31T00:00:00"/>
    <d v="2025-04-10T00:00:00"/>
    <n v="487112"/>
    <x v="1"/>
    <n v="12"/>
    <n v="4"/>
    <n v="0"/>
    <x v="6"/>
    <x v="1"/>
    <x v="1"/>
    <s v="OK"/>
    <n v="487112"/>
  </r>
  <r>
    <s v="EKO1089"/>
    <s v="Eddie Lee"/>
    <n v="28"/>
    <s v="Female"/>
    <x v="3"/>
    <s v="Dr. Aisha Lawal"/>
    <x v="12"/>
    <d v="2025-05-13T00:00:00"/>
    <d v="2025-05-22T00:00:00"/>
    <n v="404223"/>
    <x v="1"/>
    <n v="4"/>
    <n v="4"/>
    <n v="0"/>
    <x v="12"/>
    <x v="0"/>
    <x v="1"/>
    <s v="OK"/>
    <n v="404223"/>
  </r>
  <r>
    <s v="EKO1090"/>
    <s v="Cassandra Maldonado"/>
    <n v="66"/>
    <s v="Female"/>
    <x v="0"/>
    <s v="Dr. Grace Eze"/>
    <x v="0"/>
    <d v="2025-03-31T00:00:00"/>
    <d v="2025-04-03T00:00:00"/>
    <n v="198785"/>
    <x v="5"/>
    <n v="10"/>
    <n v="4"/>
    <n v="0"/>
    <x v="0"/>
    <x v="2"/>
    <x v="1"/>
    <s v="OK"/>
    <n v="198785"/>
  </r>
  <r>
    <s v="EKO1091"/>
    <s v="James Vasquez"/>
    <n v="87"/>
    <s v="Female"/>
    <x v="5"/>
    <s v="Dr. Samuel Okoro"/>
    <x v="8"/>
    <d v="2025-05-15T00:00:00"/>
    <d v="2025-05-29T00:00:00"/>
    <n v="173138"/>
    <x v="4"/>
    <n v="11"/>
    <n v="4"/>
    <n v="0"/>
    <x v="5"/>
    <x v="2"/>
    <x v="1"/>
    <s v="OK"/>
    <n v="173138"/>
  </r>
  <r>
    <s v="EKO1092"/>
    <s v="Brian Howard"/>
    <n v="4"/>
    <s v="Male"/>
    <x v="5"/>
    <s v="Dr. Samuel Okoro"/>
    <x v="8"/>
    <d v="2025-04-17T00:00:00"/>
    <d v="2025-04-22T00:00:00"/>
    <n v="127255"/>
    <x v="5"/>
    <n v="6"/>
    <n v="2"/>
    <n v="0"/>
    <x v="9"/>
    <x v="1"/>
    <x v="2"/>
    <s v="OK"/>
    <n v="127255"/>
  </r>
  <r>
    <s v="EKO1093"/>
    <s v="Jeffrey Palmer"/>
    <n v="10"/>
    <s v="Female"/>
    <x v="3"/>
    <s v="Dr. Aisha Lawal"/>
    <x v="3"/>
    <d v="2025-04-10T00:00:00"/>
    <d v="2025-04-21T00:00:00"/>
    <n v="495507"/>
    <x v="6"/>
    <n v="9"/>
    <n v="3"/>
    <n v="0"/>
    <x v="2"/>
    <x v="1"/>
    <x v="1"/>
    <s v="OK"/>
    <n v="495507"/>
  </r>
  <r>
    <s v="EKO1094"/>
    <s v="Janet Smith"/>
    <n v="90"/>
    <s v="Female"/>
    <x v="0"/>
    <s v="Dr. Grace Eze"/>
    <x v="9"/>
    <d v="2025-03-31T00:00:00"/>
    <d v="2025-04-11T00:00:00"/>
    <n v="151940"/>
    <x v="5"/>
    <n v="8"/>
    <n v="1"/>
    <n v="0"/>
    <x v="2"/>
    <x v="2"/>
    <x v="1"/>
    <s v="OK"/>
    <n v="151940"/>
  </r>
  <r>
    <s v="EKO1095"/>
    <s v="Robert Frye"/>
    <n v="84"/>
    <s v="Male"/>
    <x v="3"/>
    <s v="Dr. Aisha Lawal"/>
    <x v="12"/>
    <d v="2025-05-25T00:00:00"/>
    <d v="2025-05-30T00:00:00"/>
    <n v="127369"/>
    <x v="3"/>
    <n v="6"/>
    <n v="2"/>
    <n v="0"/>
    <x v="9"/>
    <x v="2"/>
    <x v="2"/>
    <s v="OK"/>
    <n v="127369"/>
  </r>
  <r>
    <s v="EKO1096"/>
    <s v="Samantha Dyer"/>
    <n v="23"/>
    <s v="Female"/>
    <x v="5"/>
    <s v="Dr. Samuel Okoro"/>
    <x v="8"/>
    <d v="2025-05-04T00:00:00"/>
    <d v="2025-05-12T00:00:00"/>
    <n v="164735"/>
    <x v="8"/>
    <n v="14"/>
    <n v="4"/>
    <n v="0"/>
    <x v="4"/>
    <x v="0"/>
    <x v="1"/>
    <s v="OK"/>
    <n v="164735"/>
  </r>
  <r>
    <s v="EKO1097"/>
    <s v="Kevin Flores"/>
    <n v="16"/>
    <s v="Female"/>
    <x v="2"/>
    <s v="Dr. Kelvin Ndukwe"/>
    <x v="2"/>
    <d v="2025-04-29T00:00:00"/>
    <d v="2025-05-04T00:00:00"/>
    <n v="494772"/>
    <x v="4"/>
    <n v="16"/>
    <n v="3"/>
    <n v="0"/>
    <x v="9"/>
    <x v="3"/>
    <x v="1"/>
    <s v="OK"/>
    <n v="494772"/>
  </r>
  <r>
    <s v="EKO1098"/>
    <s v="Justin Anderson"/>
    <n v="68"/>
    <s v="Female"/>
    <x v="5"/>
    <s v="Dr. Samuel Okoro"/>
    <x v="10"/>
    <d v="2025-05-20T00:00:00"/>
    <d v="2025-05-29T00:00:00"/>
    <n v="400002"/>
    <x v="7"/>
    <n v="12"/>
    <n v="2"/>
    <n v="0"/>
    <x v="12"/>
    <x v="2"/>
    <x v="1"/>
    <s v="OK"/>
    <n v="400002"/>
  </r>
  <r>
    <s v="EKO1099"/>
    <s v="Andre Allison"/>
    <n v="65"/>
    <s v="Female"/>
    <x v="2"/>
    <s v="Dr. Kelvin Ndukwe"/>
    <x v="7"/>
    <d v="2025-05-03T00:00:00"/>
    <d v="2025-05-18T00:00:00"/>
    <n v="427106"/>
    <x v="2"/>
    <n v="18"/>
    <n v="3"/>
    <n v="0"/>
    <x v="7"/>
    <x v="2"/>
    <x v="1"/>
    <s v="OK"/>
    <n v="427106"/>
  </r>
  <r>
    <s v="EKO1100"/>
    <s v="Alexandra Campos"/>
    <n v="58"/>
    <s v="Female"/>
    <x v="6"/>
    <s v="Dr. Funke Adebayo"/>
    <x v="11"/>
    <d v="2025-04-18T00:00:00"/>
    <d v="2025-05-01T00:00:00"/>
    <n v="298866"/>
    <x v="5"/>
    <n v="16"/>
    <n v="3"/>
    <n v="0"/>
    <x v="10"/>
    <x v="0"/>
    <x v="1"/>
    <s v="OK"/>
    <n v="298866"/>
  </r>
  <r>
    <s v="EKO1101"/>
    <s v="Melanie Richardson"/>
    <n v="67"/>
    <s v="Female"/>
    <x v="5"/>
    <s v="Dr. Samuel Okoro"/>
    <x v="8"/>
    <d v="2025-04-24T00:00:00"/>
    <d v="2025-05-06T00:00:00"/>
    <n v="195391"/>
    <x v="4"/>
    <n v="3"/>
    <n v="2"/>
    <n v="0"/>
    <x v="8"/>
    <x v="2"/>
    <x v="1"/>
    <s v="OK"/>
    <n v="195391"/>
  </r>
  <r>
    <s v="EKO1102"/>
    <s v="Billy Smith"/>
    <n v="37"/>
    <s v="Male"/>
    <x v="4"/>
    <s v="Dr. Tunde Cole"/>
    <x v="5"/>
    <d v="2025-04-03T00:00:00"/>
    <d v="2025-04-12T00:00:00"/>
    <n v="90623"/>
    <x v="0"/>
    <n v="17"/>
    <n v="2"/>
    <n v="199345"/>
    <x v="12"/>
    <x v="0"/>
    <x v="0"/>
    <s v="OK"/>
    <n v="289968"/>
  </r>
  <r>
    <s v="EKO1103"/>
    <s v="Phillip Crawford"/>
    <n v="11"/>
    <s v="Male"/>
    <x v="4"/>
    <s v="Dr. Tunde Cole"/>
    <x v="4"/>
    <d v="2025-04-11T00:00:00"/>
    <d v="2025-04-18T00:00:00"/>
    <n v="333195"/>
    <x v="6"/>
    <n v="9"/>
    <n v="4"/>
    <n v="188818"/>
    <x v="11"/>
    <x v="1"/>
    <x v="1"/>
    <s v="OK"/>
    <n v="522013"/>
  </r>
  <r>
    <s v="EKO1104"/>
    <s v="Ruth Barr"/>
    <n v="20"/>
    <s v="Male"/>
    <x v="6"/>
    <s v="Dr. Funke Adebayo"/>
    <x v="11"/>
    <d v="2025-05-02T00:00:00"/>
    <d v="2025-05-10T00:00:00"/>
    <n v="413829"/>
    <x v="1"/>
    <n v="1"/>
    <n v="4"/>
    <n v="0"/>
    <x v="4"/>
    <x v="0"/>
    <x v="1"/>
    <s v="OK"/>
    <n v="413829"/>
  </r>
  <r>
    <s v="EKO1105"/>
    <s v="Elizabeth Mullen"/>
    <n v="70"/>
    <s v="Female"/>
    <x v="3"/>
    <s v="Dr. Aisha Lawal"/>
    <x v="3"/>
    <d v="2025-05-07T00:00:00"/>
    <d v="2025-05-15T00:00:00"/>
    <n v="223477"/>
    <x v="4"/>
    <n v="11"/>
    <n v="1"/>
    <n v="0"/>
    <x v="4"/>
    <x v="2"/>
    <x v="1"/>
    <s v="OK"/>
    <n v="223477"/>
  </r>
  <r>
    <s v="EKO1106"/>
    <s v="Joseph Campbell"/>
    <n v="54"/>
    <s v="Female"/>
    <x v="1"/>
    <s v="Dr. Musa Bello"/>
    <x v="1"/>
    <d v="2025-04-18T00:00:00"/>
    <d v="2025-04-23T00:00:00"/>
    <n v="486674"/>
    <x v="1"/>
    <n v="1"/>
    <n v="3"/>
    <n v="0"/>
    <x v="9"/>
    <x v="0"/>
    <x v="1"/>
    <s v="OK"/>
    <n v="486674"/>
  </r>
  <r>
    <s v="EKO1107"/>
    <s v="Frank Mathews"/>
    <n v="74"/>
    <s v="Female"/>
    <x v="0"/>
    <s v="Dr. Grace Eze"/>
    <x v="9"/>
    <d v="2025-04-20T00:00:00"/>
    <d v="2025-04-22T00:00:00"/>
    <n v="499174"/>
    <x v="8"/>
    <n v="13"/>
    <n v="3"/>
    <n v="0"/>
    <x v="1"/>
    <x v="2"/>
    <x v="1"/>
    <s v="OK"/>
    <n v="499174"/>
  </r>
  <r>
    <s v="EKO1108"/>
    <s v="Brittney Moses"/>
    <n v="50"/>
    <s v="Female"/>
    <x v="1"/>
    <s v="Dr. Musa Bello"/>
    <x v="1"/>
    <d v="2025-05-14T00:00:00"/>
    <d v="2025-05-21T00:00:00"/>
    <n v="206559"/>
    <x v="7"/>
    <n v="1"/>
    <n v="2"/>
    <n v="0"/>
    <x v="11"/>
    <x v="0"/>
    <x v="1"/>
    <s v="OK"/>
    <n v="206559"/>
  </r>
  <r>
    <s v="EKO1109"/>
    <s v="Kelsey Brown"/>
    <n v="78"/>
    <s v="Male"/>
    <x v="0"/>
    <s v="Dr. Grace Eze"/>
    <x v="9"/>
    <d v="2025-04-28T00:00:00"/>
    <d v="2025-05-11T00:00:00"/>
    <n v="336330"/>
    <x v="1"/>
    <n v="17"/>
    <n v="3"/>
    <n v="0"/>
    <x v="10"/>
    <x v="2"/>
    <x v="1"/>
    <s v="OK"/>
    <n v="336330"/>
  </r>
  <r>
    <s v="EKO1111"/>
    <s v="Rose Gomez"/>
    <n v="52"/>
    <s v="Male"/>
    <x v="4"/>
    <s v="Dr. Tunde Cole"/>
    <x v="5"/>
    <d v="2025-03-31T00:00:00"/>
    <d v="2025-04-12T00:00:00"/>
    <n v="406065"/>
    <x v="0"/>
    <n v="3"/>
    <n v="3"/>
    <n v="243577"/>
    <x v="8"/>
    <x v="0"/>
    <x v="1"/>
    <s v="OK"/>
    <n v="649642"/>
  </r>
  <r>
    <s v="EKO1112"/>
    <s v="Christian Benson"/>
    <n v="4"/>
    <s v="Female"/>
    <x v="6"/>
    <s v="Dr. Funke Adebayo"/>
    <x v="11"/>
    <d v="2025-05-18T00:00:00"/>
    <d v="2025-05-29T00:00:00"/>
    <n v="330034"/>
    <x v="8"/>
    <n v="6"/>
    <n v="4"/>
    <n v="0"/>
    <x v="2"/>
    <x v="1"/>
    <x v="1"/>
    <s v="OK"/>
    <n v="330034"/>
  </r>
  <r>
    <s v="EKO1113"/>
    <s v="Jason Farrell"/>
    <n v="18"/>
    <s v="Female"/>
    <x v="1"/>
    <s v="Dr. Musa Bello"/>
    <x v="13"/>
    <d v="2025-05-24T00:00:00"/>
    <d v="2025-06-05T00:00:00"/>
    <n v="274716"/>
    <x v="2"/>
    <n v="14"/>
    <n v="3"/>
    <n v="0"/>
    <x v="8"/>
    <x v="3"/>
    <x v="1"/>
    <s v="OK"/>
    <n v="274716"/>
  </r>
  <r>
    <s v="EKO1114"/>
    <s v="Kimberly Arellano"/>
    <n v="42"/>
    <s v="Male"/>
    <x v="1"/>
    <s v="Dr. Musa Bello"/>
    <x v="6"/>
    <d v="2025-04-17T00:00:00"/>
    <d v="2025-04-23T00:00:00"/>
    <n v="248759"/>
    <x v="2"/>
    <n v="11"/>
    <n v="2"/>
    <n v="0"/>
    <x v="3"/>
    <x v="0"/>
    <x v="1"/>
    <s v="OK"/>
    <n v="248759"/>
  </r>
  <r>
    <s v="EKO1115"/>
    <s v="Daniel Nixon"/>
    <n v="49"/>
    <s v="Female"/>
    <x v="4"/>
    <s v="Dr. Tunde Cole"/>
    <x v="5"/>
    <d v="2025-04-17T00:00:00"/>
    <d v="2025-04-24T00:00:00"/>
    <n v="449103"/>
    <x v="7"/>
    <n v="9"/>
    <n v="4"/>
    <n v="249322"/>
    <x v="11"/>
    <x v="0"/>
    <x v="1"/>
    <s v="OK"/>
    <n v="698425"/>
  </r>
  <r>
    <s v="EKO1116"/>
    <s v="Susan Grimes"/>
    <n v="61"/>
    <s v="Male"/>
    <x v="4"/>
    <s v="Dr. Tunde Cole"/>
    <x v="4"/>
    <d v="2025-04-12T00:00:00"/>
    <d v="2025-04-27T00:00:00"/>
    <n v="92942"/>
    <x v="7"/>
    <n v="10"/>
    <n v="2"/>
    <n v="247998"/>
    <x v="7"/>
    <x v="2"/>
    <x v="0"/>
    <s v="OK"/>
    <n v="340940"/>
  </r>
  <r>
    <s v="EKO1117"/>
    <s v="Ashley Ramsey"/>
    <n v="9"/>
    <s v="Male"/>
    <x v="4"/>
    <s v="Dr. Tunde Cole"/>
    <x v="4"/>
    <d v="2025-04-29T00:00:00"/>
    <d v="2025-05-04T00:00:00"/>
    <n v="390862"/>
    <x v="2"/>
    <n v="1"/>
    <n v="2"/>
    <n v="182591"/>
    <x v="9"/>
    <x v="1"/>
    <x v="1"/>
    <s v="OK"/>
    <n v="573453"/>
  </r>
  <r>
    <s v="EKO1118"/>
    <s v="Thomas Jordan"/>
    <n v="3"/>
    <s v="Male"/>
    <x v="6"/>
    <s v="Dr. Funke Adebayo"/>
    <x v="11"/>
    <d v="2025-05-24T00:00:00"/>
    <d v="2025-05-29T00:00:00"/>
    <n v="489997"/>
    <x v="7"/>
    <n v="14"/>
    <n v="3"/>
    <n v="0"/>
    <x v="9"/>
    <x v="1"/>
    <x v="1"/>
    <s v="OK"/>
    <n v="489997"/>
  </r>
  <r>
    <s v="EKO1120"/>
    <s v="Jill Stout"/>
    <n v="48"/>
    <s v="Male"/>
    <x v="0"/>
    <s v="Dr. Grace Eze"/>
    <x v="0"/>
    <d v="2025-05-01T00:00:00"/>
    <d v="2025-05-07T00:00:00"/>
    <n v="452075"/>
    <x v="4"/>
    <n v="8"/>
    <n v="4"/>
    <n v="0"/>
    <x v="3"/>
    <x v="0"/>
    <x v="1"/>
    <s v="OK"/>
    <n v="452075"/>
  </r>
  <r>
    <s v="EKO1121"/>
    <s v="Jason Meadows"/>
    <n v="40"/>
    <s v="Male"/>
    <x v="5"/>
    <s v="Dr. Samuel Okoro"/>
    <x v="8"/>
    <d v="2025-04-29T00:00:00"/>
    <d v="2025-05-14T00:00:00"/>
    <n v="135860"/>
    <x v="6"/>
    <n v="16"/>
    <n v="3"/>
    <n v="0"/>
    <x v="7"/>
    <x v="0"/>
    <x v="2"/>
    <s v="OK"/>
    <n v="135860"/>
  </r>
  <r>
    <s v="EKO1122"/>
    <s v="Crystal Rios"/>
    <n v="49"/>
    <s v="Female"/>
    <x v="4"/>
    <s v="Dr. Tunde Cole"/>
    <x v="4"/>
    <d v="2025-05-16T00:00:00"/>
    <d v="2025-05-27T00:00:00"/>
    <n v="405125"/>
    <x v="7"/>
    <n v="9"/>
    <n v="4"/>
    <n v="235383"/>
    <x v="2"/>
    <x v="0"/>
    <x v="1"/>
    <s v="OK"/>
    <n v="640508"/>
  </r>
  <r>
    <s v="EKO1123"/>
    <s v="Jamie Flores"/>
    <n v="81"/>
    <s v="Male"/>
    <x v="1"/>
    <s v="Dr. Musa Bello"/>
    <x v="13"/>
    <d v="2025-04-26T00:00:00"/>
    <d v="2025-05-07T00:00:00"/>
    <n v="412080"/>
    <x v="7"/>
    <n v="14"/>
    <n v="2"/>
    <n v="0"/>
    <x v="2"/>
    <x v="2"/>
    <x v="1"/>
    <s v="OK"/>
    <n v="412080"/>
  </r>
  <r>
    <s v="EKO1124"/>
    <s v="Megan West"/>
    <n v="88"/>
    <s v="Male"/>
    <x v="0"/>
    <s v="Dr. Grace Eze"/>
    <x v="0"/>
    <d v="2025-04-20T00:00:00"/>
    <d v="2025-05-04T00:00:00"/>
    <n v="208116"/>
    <x v="3"/>
    <n v="5"/>
    <n v="3"/>
    <n v="0"/>
    <x v="5"/>
    <x v="2"/>
    <x v="1"/>
    <s v="OK"/>
    <n v="208116"/>
  </r>
  <r>
    <s v="EKO1125"/>
    <s v="Adam Mckenzie"/>
    <n v="85"/>
    <s v="Female"/>
    <x v="4"/>
    <s v="Dr. Tunde Cole"/>
    <x v="4"/>
    <d v="2025-04-16T00:00:00"/>
    <d v="2025-04-26T00:00:00"/>
    <n v="274593"/>
    <x v="5"/>
    <n v="2"/>
    <n v="1"/>
    <n v="194741"/>
    <x v="6"/>
    <x v="2"/>
    <x v="1"/>
    <s v="OK"/>
    <n v="469334"/>
  </r>
  <r>
    <s v="EKO1126"/>
    <s v="Daniel Mathis DVM"/>
    <n v="2"/>
    <s v="Female"/>
    <x v="2"/>
    <s v="Dr. Kelvin Ndukwe"/>
    <x v="7"/>
    <d v="2025-05-13T00:00:00"/>
    <d v="2025-05-25T00:00:00"/>
    <n v="228903"/>
    <x v="7"/>
    <n v="1"/>
    <n v="3"/>
    <n v="0"/>
    <x v="8"/>
    <x v="1"/>
    <x v="1"/>
    <s v="OK"/>
    <n v="228903"/>
  </r>
  <r>
    <s v="EKO1127"/>
    <s v="Elizabeth Jennings"/>
    <n v="82"/>
    <s v="Female"/>
    <x v="1"/>
    <s v="Dr. Musa Bello"/>
    <x v="1"/>
    <d v="2025-04-19T00:00:00"/>
    <d v="2025-04-27T00:00:00"/>
    <n v="239890"/>
    <x v="8"/>
    <n v="7"/>
    <n v="3"/>
    <n v="0"/>
    <x v="4"/>
    <x v="2"/>
    <x v="1"/>
    <s v="OK"/>
    <n v="239890"/>
  </r>
  <r>
    <s v="EKO1129"/>
    <s v="Debbie Hopkins"/>
    <n v="76"/>
    <s v="Female"/>
    <x v="3"/>
    <s v="Dr. Aisha Lawal"/>
    <x v="3"/>
    <d v="2025-05-21T00:00:00"/>
    <d v="2025-05-29T00:00:00"/>
    <n v="482922"/>
    <x v="0"/>
    <n v="15"/>
    <n v="2"/>
    <n v="0"/>
    <x v="4"/>
    <x v="2"/>
    <x v="1"/>
    <s v="OK"/>
    <n v="482922"/>
  </r>
  <r>
    <s v="EKO1130"/>
    <s v="Jessica Calhoun"/>
    <n v="12"/>
    <s v="Female"/>
    <x v="5"/>
    <s v="Dr. Samuel Okoro"/>
    <x v="10"/>
    <d v="2025-04-16T00:00:00"/>
    <d v="2025-04-21T00:00:00"/>
    <n v="485542"/>
    <x v="5"/>
    <n v="9"/>
    <n v="4"/>
    <n v="0"/>
    <x v="9"/>
    <x v="1"/>
    <x v="1"/>
    <s v="OK"/>
    <n v="485542"/>
  </r>
  <r>
    <s v="EKO1132"/>
    <s v="Jason Allen"/>
    <n v="42"/>
    <s v="Male"/>
    <x v="1"/>
    <s v="Dr. Musa Bello"/>
    <x v="6"/>
    <d v="2025-05-08T00:00:00"/>
    <d v="2025-05-17T00:00:00"/>
    <n v="496144"/>
    <x v="1"/>
    <n v="13"/>
    <n v="2"/>
    <n v="0"/>
    <x v="12"/>
    <x v="0"/>
    <x v="1"/>
    <s v="OK"/>
    <n v="496144"/>
  </r>
  <r>
    <s v="EKO1133"/>
    <s v="Sylvia Baxter"/>
    <n v="34"/>
    <s v="Female"/>
    <x v="6"/>
    <s v="Dr. Funke Adebayo"/>
    <x v="14"/>
    <d v="2025-04-06T00:00:00"/>
    <d v="2025-04-13T00:00:00"/>
    <n v="468293"/>
    <x v="7"/>
    <n v="5"/>
    <n v="2"/>
    <n v="0"/>
    <x v="11"/>
    <x v="0"/>
    <x v="1"/>
    <s v="OK"/>
    <n v="468293"/>
  </r>
  <r>
    <s v="EKO1134"/>
    <s v="Jacqueline Noble"/>
    <n v="72"/>
    <s v="Male"/>
    <x v="2"/>
    <s v="Dr. Kelvin Ndukwe"/>
    <x v="2"/>
    <d v="2025-04-27T00:00:00"/>
    <d v="2025-05-10T00:00:00"/>
    <n v="194844"/>
    <x v="2"/>
    <n v="8"/>
    <n v="1"/>
    <n v="0"/>
    <x v="10"/>
    <x v="2"/>
    <x v="1"/>
    <s v="OK"/>
    <n v="194844"/>
  </r>
  <r>
    <s v="EKO1135"/>
    <s v="Stephanie Lindsey"/>
    <n v="53"/>
    <s v="Female"/>
    <x v="1"/>
    <s v="Dr. Musa Bello"/>
    <x v="1"/>
    <d v="2025-04-30T00:00:00"/>
    <d v="2025-05-05T00:00:00"/>
    <n v="427526"/>
    <x v="2"/>
    <n v="6"/>
    <n v="3"/>
    <n v="0"/>
    <x v="9"/>
    <x v="0"/>
    <x v="1"/>
    <s v="OK"/>
    <n v="427526"/>
  </r>
  <r>
    <s v="EKO1136"/>
    <s v="Diana Clark"/>
    <n v="61"/>
    <s v="Female"/>
    <x v="5"/>
    <s v="Dr. Samuel Okoro"/>
    <x v="10"/>
    <d v="2025-05-25T00:00:00"/>
    <d v="2025-05-30T00:00:00"/>
    <n v="412078"/>
    <x v="7"/>
    <n v="7"/>
    <n v="2"/>
    <n v="0"/>
    <x v="9"/>
    <x v="2"/>
    <x v="1"/>
    <s v="OK"/>
    <n v="412078"/>
  </r>
  <r>
    <s v="EKO1137"/>
    <s v="John Jordan"/>
    <n v="38"/>
    <s v="Male"/>
    <x v="5"/>
    <s v="Dr. Samuel Okoro"/>
    <x v="10"/>
    <d v="2025-04-18T00:00:00"/>
    <d v="2025-04-20T00:00:00"/>
    <n v="98786"/>
    <x v="6"/>
    <n v="14"/>
    <n v="2"/>
    <n v="0"/>
    <x v="1"/>
    <x v="0"/>
    <x v="0"/>
    <s v="OK"/>
    <n v="98786"/>
  </r>
  <r>
    <s v="EKO1138"/>
    <s v="Sabrina Neal"/>
    <n v="85"/>
    <s v="Female"/>
    <x v="0"/>
    <s v="Dr. Grace Eze"/>
    <x v="9"/>
    <d v="2025-04-19T00:00:00"/>
    <d v="2025-04-24T00:00:00"/>
    <n v="210540"/>
    <x v="5"/>
    <n v="5"/>
    <n v="1"/>
    <n v="0"/>
    <x v="9"/>
    <x v="2"/>
    <x v="1"/>
    <s v="OK"/>
    <n v="210540"/>
  </r>
  <r>
    <s v="EKO1139"/>
    <s v="Connor Landry"/>
    <n v="55"/>
    <s v="Female"/>
    <x v="2"/>
    <s v="Dr. Kelvin Ndukwe"/>
    <x v="7"/>
    <d v="2025-04-24T00:00:00"/>
    <d v="2025-05-04T00:00:00"/>
    <n v="230227"/>
    <x v="2"/>
    <n v="18"/>
    <n v="4"/>
    <n v="0"/>
    <x v="6"/>
    <x v="0"/>
    <x v="1"/>
    <s v="OK"/>
    <n v="230227"/>
  </r>
  <r>
    <s v="EKO1140"/>
    <s v="Debra Ramos"/>
    <n v="40"/>
    <s v="Female"/>
    <x v="0"/>
    <s v="Dr. Grace Eze"/>
    <x v="0"/>
    <d v="2025-04-21T00:00:00"/>
    <d v="2025-04-30T00:00:00"/>
    <n v="192038"/>
    <x v="4"/>
    <n v="11"/>
    <n v="2"/>
    <n v="0"/>
    <x v="12"/>
    <x v="0"/>
    <x v="1"/>
    <s v="OK"/>
    <n v="192038"/>
  </r>
  <r>
    <s v="EKO1141"/>
    <s v="Misty Meyer"/>
    <n v="41"/>
    <s v="Male"/>
    <x v="1"/>
    <s v="Dr. Musa Bello"/>
    <x v="1"/>
    <d v="2025-05-23T00:00:00"/>
    <d v="2025-06-05T00:00:00"/>
    <n v="150969"/>
    <x v="8"/>
    <n v="19"/>
    <n v="3"/>
    <n v="0"/>
    <x v="10"/>
    <x v="0"/>
    <x v="1"/>
    <s v="OK"/>
    <n v="150969"/>
  </r>
  <r>
    <s v="EKO1142"/>
    <s v="James Avery"/>
    <n v="24"/>
    <s v="Male"/>
    <x v="2"/>
    <s v="Dr. Kelvin Ndukwe"/>
    <x v="2"/>
    <d v="2025-04-16T00:00:00"/>
    <d v="2025-04-30T00:00:00"/>
    <n v="411844"/>
    <x v="8"/>
    <n v="19"/>
    <n v="1"/>
    <n v="0"/>
    <x v="5"/>
    <x v="0"/>
    <x v="1"/>
    <s v="OK"/>
    <n v="411844"/>
  </r>
  <r>
    <s v="EKO1143"/>
    <s v="Tara Hendricks"/>
    <n v="76"/>
    <s v="Female"/>
    <x v="0"/>
    <s v="Dr. Grace Eze"/>
    <x v="0"/>
    <d v="2025-05-15T00:00:00"/>
    <d v="2025-05-24T00:00:00"/>
    <n v="194965"/>
    <x v="5"/>
    <n v="3"/>
    <n v="3"/>
    <n v="0"/>
    <x v="12"/>
    <x v="2"/>
    <x v="1"/>
    <s v="OK"/>
    <n v="194965"/>
  </r>
  <r>
    <s v="EKO1144"/>
    <s v="Luke Lopez"/>
    <n v="30"/>
    <s v="Female"/>
    <x v="5"/>
    <s v="Dr. Samuel Okoro"/>
    <x v="8"/>
    <d v="2025-05-08T00:00:00"/>
    <d v="2025-05-13T00:00:00"/>
    <n v="205318"/>
    <x v="7"/>
    <n v="18"/>
    <n v="2"/>
    <n v="0"/>
    <x v="9"/>
    <x v="0"/>
    <x v="1"/>
    <s v="OK"/>
    <n v="205318"/>
  </r>
  <r>
    <s v="EKO1145"/>
    <s v="Doris Russo"/>
    <n v="69"/>
    <s v="Male"/>
    <x v="4"/>
    <s v="Dr. Tunde Cole"/>
    <x v="5"/>
    <d v="2025-04-15T00:00:00"/>
    <d v="2025-04-17T00:00:00"/>
    <n v="421205"/>
    <x v="5"/>
    <n v="3"/>
    <n v="2"/>
    <n v="247398"/>
    <x v="1"/>
    <x v="2"/>
    <x v="1"/>
    <s v="OK"/>
    <n v="668603"/>
  </r>
  <r>
    <s v="EKO1146"/>
    <s v="James Taylor"/>
    <n v="38"/>
    <s v="Male"/>
    <x v="1"/>
    <s v="Dr. Musa Bello"/>
    <x v="1"/>
    <d v="2025-05-01T00:00:00"/>
    <d v="2025-05-03T00:00:00"/>
    <n v="340119"/>
    <x v="1"/>
    <n v="8"/>
    <n v="3"/>
    <n v="0"/>
    <x v="1"/>
    <x v="0"/>
    <x v="1"/>
    <s v="OK"/>
    <n v="340119"/>
  </r>
  <r>
    <s v="EKO1147"/>
    <s v="James Craig"/>
    <n v="14"/>
    <s v="Male"/>
    <x v="5"/>
    <s v="Dr. Samuel Okoro"/>
    <x v="10"/>
    <d v="2025-05-15T00:00:00"/>
    <d v="2025-05-29T00:00:00"/>
    <n v="307361"/>
    <x v="4"/>
    <n v="12"/>
    <n v="4"/>
    <n v="0"/>
    <x v="5"/>
    <x v="3"/>
    <x v="1"/>
    <s v="OK"/>
    <n v="307361"/>
  </r>
  <r>
    <s v="EKO1148"/>
    <s v="Richard Lee"/>
    <n v="44"/>
    <s v="Male"/>
    <x v="3"/>
    <s v="Dr. Aisha Lawal"/>
    <x v="12"/>
    <d v="2025-04-01T00:00:00"/>
    <d v="2025-04-10T00:00:00"/>
    <n v="280932"/>
    <x v="5"/>
    <n v="4"/>
    <n v="3"/>
    <n v="0"/>
    <x v="12"/>
    <x v="0"/>
    <x v="1"/>
    <s v="OK"/>
    <n v="280932"/>
  </r>
  <r>
    <s v="EKO1149"/>
    <s v="Deborah Atkins"/>
    <n v="15"/>
    <s v="Male"/>
    <x v="4"/>
    <s v="Dr. Tunde Cole"/>
    <x v="5"/>
    <d v="2025-05-24T00:00:00"/>
    <d v="2025-06-08T00:00:00"/>
    <n v="300467"/>
    <x v="7"/>
    <n v="7"/>
    <n v="3"/>
    <n v="102912"/>
    <x v="7"/>
    <x v="3"/>
    <x v="1"/>
    <s v="OK"/>
    <n v="403379"/>
  </r>
  <r>
    <s v="EKO1150"/>
    <s v="Darius Clayton"/>
    <n v="81"/>
    <s v="Male"/>
    <x v="3"/>
    <s v="Dr. Aisha Lawal"/>
    <x v="12"/>
    <d v="2025-04-14T00:00:00"/>
    <d v="2025-04-17T00:00:00"/>
    <n v="352525"/>
    <x v="3"/>
    <n v="19"/>
    <n v="1"/>
    <n v="0"/>
    <x v="0"/>
    <x v="2"/>
    <x v="1"/>
    <s v="OK"/>
    <n v="352525"/>
  </r>
  <r>
    <s v="EKO1151"/>
    <s v="Brittany Carlson"/>
    <n v="39"/>
    <s v="Male"/>
    <x v="6"/>
    <s v="Dr. Funke Adebayo"/>
    <x v="11"/>
    <d v="2025-05-13T00:00:00"/>
    <d v="2025-05-27T00:00:00"/>
    <n v="345090"/>
    <x v="0"/>
    <n v="17"/>
    <n v="4"/>
    <n v="0"/>
    <x v="5"/>
    <x v="0"/>
    <x v="1"/>
    <s v="OK"/>
    <n v="345090"/>
  </r>
  <r>
    <s v="EKO1152"/>
    <s v="Gary Fleming"/>
    <n v="54"/>
    <s v="Male"/>
    <x v="1"/>
    <s v="Dr. Musa Bello"/>
    <x v="1"/>
    <d v="2025-05-21T00:00:00"/>
    <d v="2025-05-31T00:00:00"/>
    <n v="450788"/>
    <x v="8"/>
    <n v="15"/>
    <n v="2"/>
    <n v="0"/>
    <x v="6"/>
    <x v="0"/>
    <x v="1"/>
    <s v="OK"/>
    <n v="450788"/>
  </r>
  <r>
    <s v="EKO1153"/>
    <s v="Jared Snyder"/>
    <n v="39"/>
    <s v="Female"/>
    <x v="3"/>
    <s v="Dr. Aisha Lawal"/>
    <x v="3"/>
    <d v="2025-05-06T00:00:00"/>
    <d v="2025-05-15T00:00:00"/>
    <n v="282113"/>
    <x v="7"/>
    <n v="1"/>
    <n v="2"/>
    <n v="0"/>
    <x v="12"/>
    <x v="0"/>
    <x v="1"/>
    <s v="OK"/>
    <n v="282113"/>
  </r>
  <r>
    <s v="EKO1154"/>
    <s v="Louis Cox"/>
    <n v="79"/>
    <s v="Male"/>
    <x v="2"/>
    <s v="Dr. Kelvin Ndukwe"/>
    <x v="2"/>
    <d v="2025-04-07T00:00:00"/>
    <d v="2025-04-18T00:00:00"/>
    <n v="81578"/>
    <x v="4"/>
    <n v="16"/>
    <n v="3"/>
    <n v="0"/>
    <x v="2"/>
    <x v="2"/>
    <x v="0"/>
    <s v="OK"/>
    <n v="81578"/>
  </r>
  <r>
    <s v="EKO1155"/>
    <s v="Julie Jacobs DDS"/>
    <n v="85"/>
    <s v="Male"/>
    <x v="0"/>
    <s v="Dr. Grace Eze"/>
    <x v="0"/>
    <d v="2025-04-01T00:00:00"/>
    <d v="2025-04-06T00:00:00"/>
    <n v="188750"/>
    <x v="0"/>
    <n v="5"/>
    <n v="2"/>
    <n v="0"/>
    <x v="9"/>
    <x v="2"/>
    <x v="1"/>
    <s v="OK"/>
    <n v="188750"/>
  </r>
  <r>
    <s v="EKO1156"/>
    <s v="Tiffany Ramsey"/>
    <n v="10"/>
    <s v="Male"/>
    <x v="6"/>
    <s v="Dr. Funke Adebayo"/>
    <x v="11"/>
    <d v="2025-05-17T00:00:00"/>
    <d v="2025-05-21T00:00:00"/>
    <n v="339402"/>
    <x v="3"/>
    <n v="12"/>
    <n v="2"/>
    <n v="0"/>
    <x v="13"/>
    <x v="1"/>
    <x v="1"/>
    <s v="OK"/>
    <n v="339402"/>
  </r>
  <r>
    <s v="EKO1157"/>
    <s v="Christopher Williams"/>
    <n v="77"/>
    <s v="Female"/>
    <x v="3"/>
    <s v="Dr. Aisha Lawal"/>
    <x v="3"/>
    <d v="2025-05-11T00:00:00"/>
    <d v="2025-05-20T00:00:00"/>
    <n v="411429"/>
    <x v="0"/>
    <n v="17"/>
    <n v="2"/>
    <n v="0"/>
    <x v="12"/>
    <x v="2"/>
    <x v="1"/>
    <s v="OK"/>
    <n v="411429"/>
  </r>
  <r>
    <s v="EKO1158"/>
    <s v="Daniel Johnson"/>
    <n v="37"/>
    <s v="Female"/>
    <x v="1"/>
    <s v="Dr. Musa Bello"/>
    <x v="13"/>
    <d v="2025-04-08T00:00:00"/>
    <d v="2025-04-13T00:00:00"/>
    <n v="201049"/>
    <x v="7"/>
    <n v="2"/>
    <n v="3"/>
    <n v="0"/>
    <x v="9"/>
    <x v="0"/>
    <x v="1"/>
    <s v="OK"/>
    <n v="201049"/>
  </r>
  <r>
    <s v="EKO1159"/>
    <s v="Nicole Trujillo"/>
    <n v="81"/>
    <s v="Male"/>
    <x v="0"/>
    <s v="Dr. Grace Eze"/>
    <x v="9"/>
    <d v="2025-04-11T00:00:00"/>
    <d v="2025-04-16T00:00:00"/>
    <n v="188702"/>
    <x v="3"/>
    <n v="3"/>
    <n v="2"/>
    <n v="0"/>
    <x v="9"/>
    <x v="2"/>
    <x v="1"/>
    <s v="OK"/>
    <n v="188702"/>
  </r>
  <r>
    <s v="EKO1160"/>
    <s v="Michael Freeman"/>
    <n v="83"/>
    <s v="Male"/>
    <x v="1"/>
    <s v="Dr. Musa Bello"/>
    <x v="6"/>
    <d v="2025-04-28T00:00:00"/>
    <d v="2025-05-08T00:00:00"/>
    <n v="167864"/>
    <x v="6"/>
    <n v="17"/>
    <n v="2"/>
    <n v="0"/>
    <x v="6"/>
    <x v="2"/>
    <x v="1"/>
    <s v="OK"/>
    <n v="167864"/>
  </r>
  <r>
    <s v="EKO1161"/>
    <s v="Ashley Thompson"/>
    <n v="8"/>
    <s v="Male"/>
    <x v="5"/>
    <s v="Dr. Samuel Okoro"/>
    <x v="10"/>
    <d v="2025-04-19T00:00:00"/>
    <d v="2025-04-23T00:00:00"/>
    <n v="87439"/>
    <x v="7"/>
    <n v="3"/>
    <n v="1"/>
    <n v="0"/>
    <x v="13"/>
    <x v="1"/>
    <x v="0"/>
    <s v="OK"/>
    <n v="87439"/>
  </r>
  <r>
    <s v="EKO1162"/>
    <s v="Victoria Vincent"/>
    <n v="73"/>
    <s v="Female"/>
    <x v="2"/>
    <s v="Dr. Kelvin Ndukwe"/>
    <x v="7"/>
    <d v="2025-04-18T00:00:00"/>
    <d v="2025-05-01T00:00:00"/>
    <n v="482139"/>
    <x v="3"/>
    <n v="13"/>
    <n v="2"/>
    <n v="0"/>
    <x v="10"/>
    <x v="2"/>
    <x v="1"/>
    <s v="OK"/>
    <n v="482139"/>
  </r>
  <r>
    <s v="EKO1163"/>
    <s v="Suzanne Lambert"/>
    <n v="39"/>
    <s v="Female"/>
    <x v="1"/>
    <s v="Dr. Musa Bello"/>
    <x v="6"/>
    <d v="2025-04-28T00:00:00"/>
    <d v="2025-05-07T00:00:00"/>
    <n v="411065"/>
    <x v="2"/>
    <n v="14"/>
    <n v="1"/>
    <n v="0"/>
    <x v="12"/>
    <x v="0"/>
    <x v="1"/>
    <s v="OK"/>
    <n v="411065"/>
  </r>
  <r>
    <s v="EKO1164"/>
    <s v="George Pitts"/>
    <n v="57"/>
    <s v="Male"/>
    <x v="2"/>
    <s v="Dr. Kelvin Ndukwe"/>
    <x v="2"/>
    <d v="2025-05-17T00:00:00"/>
    <d v="2025-05-27T00:00:00"/>
    <n v="308890"/>
    <x v="7"/>
    <n v="2"/>
    <n v="2"/>
    <n v="0"/>
    <x v="6"/>
    <x v="0"/>
    <x v="1"/>
    <s v="OK"/>
    <n v="308890"/>
  </r>
  <r>
    <s v="EKO1165"/>
    <s v="Miss Victoria Mccullough"/>
    <n v="78"/>
    <s v="Female"/>
    <x v="3"/>
    <s v="Dr. Aisha Lawal"/>
    <x v="12"/>
    <d v="2025-04-15T00:00:00"/>
    <d v="2025-04-28T00:00:00"/>
    <n v="218989"/>
    <x v="2"/>
    <n v="11"/>
    <n v="4"/>
    <n v="0"/>
    <x v="10"/>
    <x v="2"/>
    <x v="1"/>
    <s v="OK"/>
    <n v="218989"/>
  </r>
  <r>
    <s v="EKO1166"/>
    <s v="Angela Hernandez"/>
    <n v="74"/>
    <s v="Male"/>
    <x v="1"/>
    <s v="Dr. Musa Bello"/>
    <x v="1"/>
    <d v="2025-04-22T00:00:00"/>
    <d v="2025-04-27T00:00:00"/>
    <n v="403526"/>
    <x v="6"/>
    <n v="15"/>
    <n v="1"/>
    <n v="0"/>
    <x v="9"/>
    <x v="2"/>
    <x v="1"/>
    <s v="OK"/>
    <n v="403526"/>
  </r>
  <r>
    <s v="EKO1167"/>
    <s v="Terry Hunt"/>
    <n v="6"/>
    <s v="Male"/>
    <x v="5"/>
    <s v="Dr. Samuel Okoro"/>
    <x v="10"/>
    <d v="2025-05-07T00:00:00"/>
    <d v="2025-05-13T00:00:00"/>
    <n v="352119"/>
    <x v="3"/>
    <n v="2"/>
    <n v="1"/>
    <n v="0"/>
    <x v="3"/>
    <x v="1"/>
    <x v="1"/>
    <s v="OK"/>
    <n v="352119"/>
  </r>
  <r>
    <s v="EKO1168"/>
    <s v="Johnny Rodgers"/>
    <n v="36"/>
    <s v="Male"/>
    <x v="2"/>
    <s v="Dr. Kelvin Ndukwe"/>
    <x v="7"/>
    <d v="2025-04-16T00:00:00"/>
    <d v="2025-04-28T00:00:00"/>
    <n v="281855"/>
    <x v="6"/>
    <n v="12"/>
    <n v="4"/>
    <n v="0"/>
    <x v="8"/>
    <x v="0"/>
    <x v="1"/>
    <s v="OK"/>
    <n v="281855"/>
  </r>
  <r>
    <s v="EKO1169"/>
    <s v="Mrs. Robin Ferguson"/>
    <n v="12"/>
    <s v="Female"/>
    <x v="0"/>
    <s v="Dr. Grace Eze"/>
    <x v="9"/>
    <d v="2025-05-06T00:00:00"/>
    <d v="2025-05-21T00:00:00"/>
    <n v="307805"/>
    <x v="2"/>
    <n v="8"/>
    <n v="1"/>
    <n v="0"/>
    <x v="7"/>
    <x v="1"/>
    <x v="1"/>
    <s v="OK"/>
    <n v="307805"/>
  </r>
  <r>
    <s v="EKO1170"/>
    <s v="Michael Johnson"/>
    <n v="86"/>
    <s v="Male"/>
    <x v="3"/>
    <s v="Dr. Aisha Lawal"/>
    <x v="12"/>
    <d v="2025-04-18T00:00:00"/>
    <d v="2025-04-25T00:00:00"/>
    <n v="218326"/>
    <x v="3"/>
    <n v="9"/>
    <n v="2"/>
    <n v="0"/>
    <x v="11"/>
    <x v="2"/>
    <x v="1"/>
    <s v="OK"/>
    <n v="218326"/>
  </r>
  <r>
    <s v="EKO1171"/>
    <s v="Felicia Garcia"/>
    <n v="64"/>
    <s v="Female"/>
    <x v="4"/>
    <s v="Dr. Tunde Cole"/>
    <x v="5"/>
    <d v="2025-04-18T00:00:00"/>
    <d v="2025-04-26T00:00:00"/>
    <n v="413684"/>
    <x v="3"/>
    <n v="14"/>
    <n v="1"/>
    <n v="169599"/>
    <x v="4"/>
    <x v="2"/>
    <x v="1"/>
    <s v="OK"/>
    <n v="583283"/>
  </r>
  <r>
    <s v="EKO1172"/>
    <s v="Thomas Guerrero"/>
    <n v="5"/>
    <s v="Female"/>
    <x v="5"/>
    <s v="Dr. Samuel Okoro"/>
    <x v="8"/>
    <d v="2025-04-08T00:00:00"/>
    <d v="2025-04-22T00:00:00"/>
    <n v="338409"/>
    <x v="1"/>
    <n v="18"/>
    <n v="4"/>
    <n v="0"/>
    <x v="5"/>
    <x v="1"/>
    <x v="1"/>
    <s v="OK"/>
    <n v="338409"/>
  </r>
  <r>
    <s v="EKO1173"/>
    <s v="David Burke"/>
    <n v="15"/>
    <s v="Female"/>
    <x v="4"/>
    <s v="Dr. Tunde Cole"/>
    <x v="4"/>
    <d v="2025-05-11T00:00:00"/>
    <d v="2025-05-17T00:00:00"/>
    <n v="219488"/>
    <x v="5"/>
    <n v="8"/>
    <n v="2"/>
    <n v="233624"/>
    <x v="3"/>
    <x v="3"/>
    <x v="1"/>
    <s v="OK"/>
    <n v="453112"/>
  </r>
  <r>
    <s v="EKO1174"/>
    <s v="Michael Glover"/>
    <n v="60"/>
    <s v="Female"/>
    <x v="0"/>
    <s v="Dr. Grace Eze"/>
    <x v="0"/>
    <d v="2025-05-08T00:00:00"/>
    <d v="2025-05-23T00:00:00"/>
    <n v="334475"/>
    <x v="3"/>
    <n v="6"/>
    <n v="1"/>
    <n v="0"/>
    <x v="7"/>
    <x v="2"/>
    <x v="1"/>
    <s v="OK"/>
    <n v="334475"/>
  </r>
  <r>
    <s v="EKO1176"/>
    <s v="Randy Harmon"/>
    <n v="35"/>
    <s v="Male"/>
    <x v="5"/>
    <s v="Dr. Samuel Okoro"/>
    <x v="10"/>
    <d v="2025-04-13T00:00:00"/>
    <d v="2025-04-15T00:00:00"/>
    <n v="156723"/>
    <x v="4"/>
    <n v="19"/>
    <n v="2"/>
    <n v="0"/>
    <x v="1"/>
    <x v="0"/>
    <x v="1"/>
    <s v="OK"/>
    <n v="156723"/>
  </r>
  <r>
    <s v="EKO1177"/>
    <s v="Cassandra Williams"/>
    <n v="16"/>
    <s v="Male"/>
    <x v="3"/>
    <s v="Dr. Aisha Lawal"/>
    <x v="12"/>
    <d v="2025-04-09T00:00:00"/>
    <d v="2025-04-22T00:00:00"/>
    <n v="304128"/>
    <x v="8"/>
    <n v="13"/>
    <n v="4"/>
    <n v="0"/>
    <x v="10"/>
    <x v="3"/>
    <x v="1"/>
    <s v="OK"/>
    <n v="304128"/>
  </r>
  <r>
    <s v="EKO1178"/>
    <s v="Nicholas Wilson"/>
    <n v="71"/>
    <s v="Male"/>
    <x v="0"/>
    <s v="Dr. Grace Eze"/>
    <x v="9"/>
    <d v="2025-04-28T00:00:00"/>
    <d v="2025-05-02T00:00:00"/>
    <n v="212922"/>
    <x v="8"/>
    <n v="10"/>
    <n v="2"/>
    <n v="0"/>
    <x v="13"/>
    <x v="2"/>
    <x v="1"/>
    <s v="OK"/>
    <n v="212922"/>
  </r>
  <r>
    <s v="EKO1179"/>
    <s v="Cynthia Crawford"/>
    <n v="15"/>
    <s v="Female"/>
    <x v="1"/>
    <s v="Dr. Musa Bello"/>
    <x v="13"/>
    <d v="2025-04-12T00:00:00"/>
    <d v="2025-04-17T00:00:00"/>
    <n v="491138"/>
    <x v="2"/>
    <n v="3"/>
    <n v="4"/>
    <n v="0"/>
    <x v="9"/>
    <x v="3"/>
    <x v="1"/>
    <s v="OK"/>
    <n v="491138"/>
  </r>
  <r>
    <s v="EKO1180"/>
    <s v="Steven Jones"/>
    <n v="64"/>
    <s v="Female"/>
    <x v="0"/>
    <s v="Dr. Grace Eze"/>
    <x v="9"/>
    <d v="2025-04-19T00:00:00"/>
    <d v="2025-05-04T00:00:00"/>
    <n v="130725"/>
    <x v="3"/>
    <n v="1"/>
    <n v="4"/>
    <n v="0"/>
    <x v="7"/>
    <x v="2"/>
    <x v="2"/>
    <s v="OK"/>
    <n v="130725"/>
  </r>
  <r>
    <s v="EKO1181"/>
    <s v="Jennifer Brown"/>
    <n v="61"/>
    <s v="Male"/>
    <x v="3"/>
    <s v="Dr. Aisha Lawal"/>
    <x v="3"/>
    <d v="2025-05-02T00:00:00"/>
    <d v="2025-05-17T00:00:00"/>
    <n v="302968"/>
    <x v="5"/>
    <n v="1"/>
    <n v="3"/>
    <n v="0"/>
    <x v="7"/>
    <x v="2"/>
    <x v="1"/>
    <s v="OK"/>
    <n v="302968"/>
  </r>
  <r>
    <s v="EKO1182"/>
    <s v="Gregory Mitchell"/>
    <n v="25"/>
    <s v="Male"/>
    <x v="2"/>
    <s v="Dr. Kelvin Ndukwe"/>
    <x v="2"/>
    <d v="2025-04-19T00:00:00"/>
    <d v="2025-04-23T00:00:00"/>
    <n v="251109"/>
    <x v="6"/>
    <n v="10"/>
    <n v="1"/>
    <n v="0"/>
    <x v="13"/>
    <x v="0"/>
    <x v="1"/>
    <s v="OK"/>
    <n v="251109"/>
  </r>
  <r>
    <s v="EKO1183"/>
    <s v="Keith White"/>
    <n v="54"/>
    <s v="Female"/>
    <x v="4"/>
    <s v="Dr. Tunde Cole"/>
    <x v="5"/>
    <d v="2025-04-30T00:00:00"/>
    <d v="2025-05-14T00:00:00"/>
    <n v="464190"/>
    <x v="5"/>
    <n v="1"/>
    <n v="2"/>
    <n v="165760"/>
    <x v="5"/>
    <x v="0"/>
    <x v="1"/>
    <s v="OK"/>
    <n v="629950"/>
  </r>
  <r>
    <s v="EKO1184"/>
    <s v="Laura Robles"/>
    <n v="39"/>
    <s v="Female"/>
    <x v="5"/>
    <s v="Dr. Samuel Okoro"/>
    <x v="8"/>
    <d v="2025-04-24T00:00:00"/>
    <d v="2025-04-26T00:00:00"/>
    <n v="198289"/>
    <x v="1"/>
    <n v="9"/>
    <n v="1"/>
    <n v="0"/>
    <x v="1"/>
    <x v="0"/>
    <x v="1"/>
    <s v="OK"/>
    <n v="198289"/>
  </r>
  <r>
    <s v="EKO1185"/>
    <s v="Nicholas Martin"/>
    <n v="45"/>
    <s v="Female"/>
    <x v="3"/>
    <s v="Dr. Aisha Lawal"/>
    <x v="3"/>
    <d v="2025-04-03T00:00:00"/>
    <d v="2025-04-13T00:00:00"/>
    <n v="303934"/>
    <x v="0"/>
    <n v="17"/>
    <n v="3"/>
    <n v="0"/>
    <x v="6"/>
    <x v="0"/>
    <x v="1"/>
    <s v="OK"/>
    <n v="303934"/>
  </r>
  <r>
    <s v="EKO1186"/>
    <s v="Christopher Morrow"/>
    <n v="90"/>
    <s v="Male"/>
    <x v="3"/>
    <s v="Dr. Aisha Lawal"/>
    <x v="3"/>
    <d v="2025-04-17T00:00:00"/>
    <d v="2025-04-24T00:00:00"/>
    <n v="148908"/>
    <x v="6"/>
    <n v="15"/>
    <n v="1"/>
    <n v="0"/>
    <x v="11"/>
    <x v="2"/>
    <x v="2"/>
    <s v="OK"/>
    <n v="148908"/>
  </r>
  <r>
    <s v="EKO1188"/>
    <s v="Danielle Ford PhD"/>
    <n v="49"/>
    <s v="Female"/>
    <x v="0"/>
    <s v="Dr. Grace Eze"/>
    <x v="0"/>
    <d v="2025-03-29T00:00:00"/>
    <d v="2025-04-07T00:00:00"/>
    <n v="419742"/>
    <x v="3"/>
    <n v="9"/>
    <n v="2"/>
    <n v="0"/>
    <x v="12"/>
    <x v="0"/>
    <x v="1"/>
    <s v="OK"/>
    <n v="419742"/>
  </r>
  <r>
    <s v="EKO1189"/>
    <s v="Joseph Hicks DVM"/>
    <n v="65"/>
    <s v="Female"/>
    <x v="3"/>
    <s v="Dr. Aisha Lawal"/>
    <x v="12"/>
    <d v="2025-04-16T00:00:00"/>
    <d v="2025-04-18T00:00:00"/>
    <n v="116189"/>
    <x v="6"/>
    <n v="13"/>
    <n v="2"/>
    <n v="0"/>
    <x v="1"/>
    <x v="2"/>
    <x v="2"/>
    <s v="OK"/>
    <n v="116189"/>
  </r>
  <r>
    <s v="EKO1190"/>
    <s v="Nathan Knight"/>
    <n v="13"/>
    <s v="Female"/>
    <x v="5"/>
    <s v="Dr. Samuel Okoro"/>
    <x v="8"/>
    <d v="2025-04-03T00:00:00"/>
    <d v="2025-04-18T00:00:00"/>
    <n v="280847"/>
    <x v="8"/>
    <n v="11"/>
    <n v="2"/>
    <n v="0"/>
    <x v="7"/>
    <x v="3"/>
    <x v="1"/>
    <s v="OK"/>
    <n v="280847"/>
  </r>
  <r>
    <s v="EKO1191"/>
    <s v="John Schwartz"/>
    <n v="84"/>
    <s v="Male"/>
    <x v="0"/>
    <s v="Dr. Grace Eze"/>
    <x v="0"/>
    <d v="2025-05-16T00:00:00"/>
    <d v="2025-05-20T00:00:00"/>
    <n v="264946"/>
    <x v="8"/>
    <n v="7"/>
    <n v="3"/>
    <n v="0"/>
    <x v="13"/>
    <x v="2"/>
    <x v="1"/>
    <s v="OK"/>
    <n v="264946"/>
  </r>
  <r>
    <s v="EKO1192"/>
    <s v="Steven Bruce"/>
    <n v="44"/>
    <s v="Female"/>
    <x v="3"/>
    <s v="Dr. Aisha Lawal"/>
    <x v="12"/>
    <d v="2025-05-09T00:00:00"/>
    <d v="2025-05-23T00:00:00"/>
    <n v="188948"/>
    <x v="5"/>
    <n v="11"/>
    <n v="1"/>
    <n v="0"/>
    <x v="5"/>
    <x v="0"/>
    <x v="1"/>
    <s v="OK"/>
    <n v="188948"/>
  </r>
  <r>
    <s v="EKO1193"/>
    <s v="Brandon Ramirez"/>
    <n v="87"/>
    <s v="Female"/>
    <x v="5"/>
    <s v="Dr. Samuel Okoro"/>
    <x v="10"/>
    <d v="2025-05-07T00:00:00"/>
    <d v="2025-05-14T00:00:00"/>
    <n v="496872"/>
    <x v="3"/>
    <n v="13"/>
    <n v="4"/>
    <n v="0"/>
    <x v="11"/>
    <x v="2"/>
    <x v="1"/>
    <s v="OK"/>
    <n v="496872"/>
  </r>
  <r>
    <s v="EKO1194"/>
    <s v="Kelly Dixon"/>
    <n v="63"/>
    <s v="Male"/>
    <x v="0"/>
    <s v="Dr. Grace Eze"/>
    <x v="0"/>
    <d v="2025-05-19T00:00:00"/>
    <d v="2025-06-01T00:00:00"/>
    <n v="448145"/>
    <x v="4"/>
    <n v="5"/>
    <n v="2"/>
    <n v="0"/>
    <x v="10"/>
    <x v="2"/>
    <x v="1"/>
    <s v="OK"/>
    <n v="448145"/>
  </r>
  <r>
    <s v="EKO1195"/>
    <s v="Lauren Ramirez DDS"/>
    <n v="37"/>
    <s v="Male"/>
    <x v="6"/>
    <s v="Dr. Funke Adebayo"/>
    <x v="11"/>
    <d v="2025-05-15T00:00:00"/>
    <d v="2025-05-27T00:00:00"/>
    <n v="408822"/>
    <x v="1"/>
    <n v="17"/>
    <n v="3"/>
    <n v="0"/>
    <x v="8"/>
    <x v="0"/>
    <x v="1"/>
    <s v="OK"/>
    <n v="408822"/>
  </r>
  <r>
    <s v="EKO1196"/>
    <s v="Carolyn Webb"/>
    <n v="82"/>
    <s v="Male"/>
    <x v="3"/>
    <s v="Dr. Aisha Lawal"/>
    <x v="3"/>
    <d v="2025-04-07T00:00:00"/>
    <d v="2025-04-10T00:00:00"/>
    <n v="448652"/>
    <x v="6"/>
    <n v="1"/>
    <n v="1"/>
    <n v="0"/>
    <x v="0"/>
    <x v="2"/>
    <x v="1"/>
    <s v="OK"/>
    <n v="448652"/>
  </r>
  <r>
    <s v="EKO1198"/>
    <s v="Amy Thomas"/>
    <n v="46"/>
    <s v="Female"/>
    <x v="5"/>
    <s v="Dr. Samuel Okoro"/>
    <x v="10"/>
    <d v="2025-05-05T00:00:00"/>
    <d v="2025-05-07T00:00:00"/>
    <n v="203809"/>
    <x v="3"/>
    <n v="7"/>
    <n v="1"/>
    <n v="0"/>
    <x v="1"/>
    <x v="0"/>
    <x v="1"/>
    <s v="OK"/>
    <n v="203809"/>
  </r>
  <r>
    <s v="EKO1199"/>
    <s v="Christopher Stewart"/>
    <n v="53"/>
    <s v="Male"/>
    <x v="6"/>
    <s v="Dr. Funke Adebayo"/>
    <x v="11"/>
    <d v="2025-04-14T00:00:00"/>
    <d v="2025-04-19T00:00:00"/>
    <n v="328484"/>
    <x v="0"/>
    <n v="3"/>
    <n v="2"/>
    <n v="0"/>
    <x v="9"/>
    <x v="0"/>
    <x v="1"/>
    <s v="OK"/>
    <n v="328484"/>
  </r>
  <r>
    <s v="EKO1201"/>
    <s v="Joseph Anderson DVM"/>
    <n v="60"/>
    <s v="Female"/>
    <x v="2"/>
    <s v="Dr. Kelvin Ndukwe"/>
    <x v="7"/>
    <d v="2025-04-29T00:00:00"/>
    <d v="2025-05-03T00:00:00"/>
    <n v="171733"/>
    <x v="2"/>
    <n v="8"/>
    <n v="2"/>
    <n v="0"/>
    <x v="13"/>
    <x v="2"/>
    <x v="1"/>
    <s v="OK"/>
    <n v="171733"/>
  </r>
  <r>
    <s v="EKO1202"/>
    <s v="Jessica Howard"/>
    <n v="60"/>
    <s v="Female"/>
    <x v="4"/>
    <s v="Dr. Tunde Cole"/>
    <x v="4"/>
    <d v="2025-04-15T00:00:00"/>
    <d v="2025-04-27T00:00:00"/>
    <n v="54926"/>
    <x v="5"/>
    <n v="18"/>
    <n v="3"/>
    <n v="253221"/>
    <x v="8"/>
    <x v="2"/>
    <x v="0"/>
    <s v="OK"/>
    <n v="308147"/>
  </r>
  <r>
    <s v="EKO1203"/>
    <s v="Daniel Grant"/>
    <n v="76"/>
    <s v="Female"/>
    <x v="1"/>
    <s v="Dr. Musa Bello"/>
    <x v="1"/>
    <d v="2025-04-21T00:00:00"/>
    <d v="2025-04-30T00:00:00"/>
    <n v="231175"/>
    <x v="0"/>
    <n v="5"/>
    <n v="3"/>
    <n v="0"/>
    <x v="12"/>
    <x v="2"/>
    <x v="1"/>
    <s v="OK"/>
    <n v="231175"/>
  </r>
  <r>
    <s v="EKO1204"/>
    <s v="Jason Bailey"/>
    <n v="59"/>
    <s v="Female"/>
    <x v="3"/>
    <s v="Dr. Aisha Lawal"/>
    <x v="12"/>
    <d v="2025-05-16T00:00:00"/>
    <d v="2025-05-29T00:00:00"/>
    <n v="181123"/>
    <x v="6"/>
    <n v="17"/>
    <n v="2"/>
    <n v="0"/>
    <x v="10"/>
    <x v="0"/>
    <x v="1"/>
    <s v="OK"/>
    <n v="181123"/>
  </r>
  <r>
    <s v="EKO1205"/>
    <s v="Kevin Russell"/>
    <n v="14"/>
    <s v="Male"/>
    <x v="3"/>
    <s v="Dr. Aisha Lawal"/>
    <x v="3"/>
    <d v="2025-05-13T00:00:00"/>
    <d v="2025-05-28T00:00:00"/>
    <n v="303340"/>
    <x v="5"/>
    <n v="13"/>
    <n v="4"/>
    <n v="0"/>
    <x v="7"/>
    <x v="3"/>
    <x v="1"/>
    <s v="OK"/>
    <n v="303340"/>
  </r>
  <r>
    <s v="EKO1206"/>
    <s v="Maria Gibbs"/>
    <n v="38"/>
    <s v="Female"/>
    <x v="2"/>
    <s v="Dr. Kelvin Ndukwe"/>
    <x v="2"/>
    <d v="2025-05-17T00:00:00"/>
    <d v="2025-05-24T00:00:00"/>
    <n v="351366"/>
    <x v="5"/>
    <n v="6"/>
    <n v="4"/>
    <n v="0"/>
    <x v="11"/>
    <x v="0"/>
    <x v="1"/>
    <s v="OK"/>
    <n v="351366"/>
  </r>
  <r>
    <s v="EKO1207"/>
    <s v="Brendan Ross"/>
    <n v="36"/>
    <s v="Male"/>
    <x v="5"/>
    <s v="Dr. Samuel Okoro"/>
    <x v="8"/>
    <d v="2025-05-11T00:00:00"/>
    <d v="2025-05-23T00:00:00"/>
    <n v="257516"/>
    <x v="8"/>
    <n v="18"/>
    <n v="2"/>
    <n v="0"/>
    <x v="8"/>
    <x v="0"/>
    <x v="1"/>
    <s v="OK"/>
    <n v="257516"/>
  </r>
  <r>
    <s v="EKO1208"/>
    <s v="James Richmond"/>
    <n v="37"/>
    <s v="Male"/>
    <x v="2"/>
    <s v="Dr. Kelvin Ndukwe"/>
    <x v="7"/>
    <d v="2025-05-03T00:00:00"/>
    <d v="2025-05-16T00:00:00"/>
    <n v="310428"/>
    <x v="1"/>
    <n v="12"/>
    <n v="3"/>
    <n v="0"/>
    <x v="10"/>
    <x v="0"/>
    <x v="1"/>
    <s v="OK"/>
    <n v="310428"/>
  </r>
  <r>
    <s v="EKO1209"/>
    <s v="Michael Guzman"/>
    <n v="80"/>
    <s v="Female"/>
    <x v="6"/>
    <s v="Dr. Funke Adebayo"/>
    <x v="11"/>
    <d v="2025-05-24T00:00:00"/>
    <d v="2025-06-05T00:00:00"/>
    <n v="149683"/>
    <x v="2"/>
    <n v="14"/>
    <n v="2"/>
    <n v="0"/>
    <x v="8"/>
    <x v="2"/>
    <x v="2"/>
    <s v="OK"/>
    <n v="149683"/>
  </r>
  <r>
    <s v="EKO1210"/>
    <s v="Andrea Callahan"/>
    <n v="83"/>
    <s v="Male"/>
    <x v="0"/>
    <s v="Dr. Grace Eze"/>
    <x v="9"/>
    <d v="2025-04-11T00:00:00"/>
    <d v="2025-04-14T00:00:00"/>
    <n v="378968"/>
    <x v="5"/>
    <n v="14"/>
    <n v="3"/>
    <n v="0"/>
    <x v="0"/>
    <x v="2"/>
    <x v="1"/>
    <s v="OK"/>
    <n v="378968"/>
  </r>
  <r>
    <s v="EKO1211"/>
    <s v="Dr. Michael Barton MD"/>
    <n v="75"/>
    <s v="Female"/>
    <x v="5"/>
    <s v="Dr. Samuel Okoro"/>
    <x v="8"/>
    <d v="2025-04-29T00:00:00"/>
    <d v="2025-05-08T00:00:00"/>
    <n v="67492"/>
    <x v="5"/>
    <n v="19"/>
    <n v="1"/>
    <n v="0"/>
    <x v="12"/>
    <x v="2"/>
    <x v="0"/>
    <s v="OK"/>
    <n v="67492"/>
  </r>
  <r>
    <s v="EKO1212"/>
    <s v="Matthew Harris"/>
    <n v="54"/>
    <s v="Male"/>
    <x v="1"/>
    <s v="Dr. Musa Bello"/>
    <x v="13"/>
    <d v="2025-05-11T00:00:00"/>
    <d v="2025-05-17T00:00:00"/>
    <n v="221294"/>
    <x v="4"/>
    <n v="16"/>
    <n v="2"/>
    <n v="0"/>
    <x v="3"/>
    <x v="0"/>
    <x v="1"/>
    <s v="OK"/>
    <n v="221294"/>
  </r>
  <r>
    <s v="EKO1213"/>
    <s v="Adam Williams Jr."/>
    <n v="47"/>
    <s v="Female"/>
    <x v="6"/>
    <s v="Dr. Funke Adebayo"/>
    <x v="11"/>
    <d v="2025-05-13T00:00:00"/>
    <d v="2025-05-27T00:00:00"/>
    <n v="332805"/>
    <x v="1"/>
    <n v="9"/>
    <n v="2"/>
    <n v="0"/>
    <x v="5"/>
    <x v="0"/>
    <x v="1"/>
    <s v="OK"/>
    <n v="332805"/>
  </r>
  <r>
    <s v="EKO1214"/>
    <s v="Emily Clark"/>
    <n v="38"/>
    <s v="Female"/>
    <x v="4"/>
    <s v="Dr. Tunde Cole"/>
    <x v="4"/>
    <d v="2025-05-10T00:00:00"/>
    <d v="2025-05-25T00:00:00"/>
    <n v="302627"/>
    <x v="4"/>
    <n v="7"/>
    <n v="3"/>
    <n v="238948"/>
    <x v="7"/>
    <x v="0"/>
    <x v="1"/>
    <s v="OK"/>
    <n v="541575"/>
  </r>
  <r>
    <s v="EKO1215"/>
    <s v="Anthony Holmes"/>
    <n v="29"/>
    <s v="Female"/>
    <x v="3"/>
    <s v="Dr. Aisha Lawal"/>
    <x v="3"/>
    <d v="2025-03-30T00:00:00"/>
    <d v="2025-04-02T00:00:00"/>
    <n v="123797"/>
    <x v="2"/>
    <n v="13"/>
    <n v="2"/>
    <n v="0"/>
    <x v="0"/>
    <x v="0"/>
    <x v="2"/>
    <s v="OK"/>
    <n v="123797"/>
  </r>
  <r>
    <s v="EKO1216"/>
    <s v="Michael Jones"/>
    <n v="2"/>
    <s v="Female"/>
    <x v="1"/>
    <s v="Dr. Musa Bello"/>
    <x v="1"/>
    <d v="2025-04-29T00:00:00"/>
    <d v="2025-05-13T00:00:00"/>
    <n v="256870"/>
    <x v="7"/>
    <n v="19"/>
    <n v="4"/>
    <n v="0"/>
    <x v="5"/>
    <x v="1"/>
    <x v="1"/>
    <s v="OK"/>
    <n v="256870"/>
  </r>
  <r>
    <s v="EKO1217"/>
    <s v="Lisa Contreras"/>
    <n v="87"/>
    <s v="Female"/>
    <x v="1"/>
    <s v="Dr. Musa Bello"/>
    <x v="1"/>
    <d v="2025-05-06T00:00:00"/>
    <d v="2025-05-15T00:00:00"/>
    <n v="243245"/>
    <x v="4"/>
    <n v="17"/>
    <n v="1"/>
    <n v="0"/>
    <x v="12"/>
    <x v="2"/>
    <x v="1"/>
    <s v="OK"/>
    <n v="243245"/>
  </r>
  <r>
    <s v="EKO1218"/>
    <s v="Cassandra Mann"/>
    <n v="48"/>
    <s v="Male"/>
    <x v="3"/>
    <s v="Dr. Aisha Lawal"/>
    <x v="12"/>
    <d v="2025-05-24T00:00:00"/>
    <d v="2025-06-08T00:00:00"/>
    <n v="384783"/>
    <x v="5"/>
    <n v="1"/>
    <n v="1"/>
    <n v="0"/>
    <x v="7"/>
    <x v="0"/>
    <x v="1"/>
    <s v="OK"/>
    <n v="384783"/>
  </r>
  <r>
    <s v="EKO1219"/>
    <s v="Stephanie Hamilton"/>
    <n v="72"/>
    <s v="Female"/>
    <x v="3"/>
    <s v="Dr. Aisha Lawal"/>
    <x v="12"/>
    <d v="2025-05-11T00:00:00"/>
    <d v="2025-05-13T00:00:00"/>
    <n v="374820"/>
    <x v="1"/>
    <n v="3"/>
    <n v="3"/>
    <n v="0"/>
    <x v="1"/>
    <x v="2"/>
    <x v="1"/>
    <s v="OK"/>
    <n v="374820"/>
  </r>
  <r>
    <s v="EKO1220"/>
    <s v="Benjamin Pierce"/>
    <n v="60"/>
    <s v="Female"/>
    <x v="0"/>
    <s v="Dr. Grace Eze"/>
    <x v="9"/>
    <d v="2025-05-04T00:00:00"/>
    <d v="2025-05-07T00:00:00"/>
    <n v="383134"/>
    <x v="0"/>
    <n v="19"/>
    <n v="3"/>
    <n v="0"/>
    <x v="0"/>
    <x v="2"/>
    <x v="1"/>
    <s v="OK"/>
    <n v="383134"/>
  </r>
  <r>
    <s v="EKO1221"/>
    <s v="Tammy Harris"/>
    <n v="5"/>
    <s v="Female"/>
    <x v="1"/>
    <s v="Dr. Musa Bello"/>
    <x v="6"/>
    <d v="2025-05-25T00:00:00"/>
    <d v="2025-05-29T00:00:00"/>
    <n v="73774"/>
    <x v="2"/>
    <n v="12"/>
    <n v="4"/>
    <n v="0"/>
    <x v="13"/>
    <x v="1"/>
    <x v="0"/>
    <s v="OK"/>
    <n v="73774"/>
  </r>
  <r>
    <s v="EKO1222"/>
    <s v="Melanie Morrow"/>
    <n v="69"/>
    <s v="Male"/>
    <x v="1"/>
    <s v="Dr. Musa Bello"/>
    <x v="6"/>
    <d v="2025-04-02T00:00:00"/>
    <d v="2025-04-05T00:00:00"/>
    <n v="173102"/>
    <x v="5"/>
    <n v="13"/>
    <n v="3"/>
    <n v="0"/>
    <x v="0"/>
    <x v="2"/>
    <x v="1"/>
    <s v="OK"/>
    <n v="173102"/>
  </r>
  <r>
    <s v="EKO1223"/>
    <s v="Rachel Newman"/>
    <n v="90"/>
    <s v="Female"/>
    <x v="3"/>
    <s v="Dr. Aisha Lawal"/>
    <x v="12"/>
    <d v="2025-05-15T00:00:00"/>
    <d v="2025-05-22T00:00:00"/>
    <n v="401527"/>
    <x v="4"/>
    <n v="12"/>
    <n v="3"/>
    <n v="0"/>
    <x v="11"/>
    <x v="2"/>
    <x v="1"/>
    <s v="OK"/>
    <n v="401527"/>
  </r>
  <r>
    <s v="EKO1224"/>
    <s v="Lauren Archer"/>
    <n v="63"/>
    <s v="Female"/>
    <x v="3"/>
    <s v="Dr. Aisha Lawal"/>
    <x v="3"/>
    <d v="2025-04-30T00:00:00"/>
    <d v="2025-05-12T00:00:00"/>
    <n v="101915"/>
    <x v="6"/>
    <n v="10"/>
    <n v="4"/>
    <n v="0"/>
    <x v="8"/>
    <x v="2"/>
    <x v="2"/>
    <s v="OK"/>
    <n v="101915"/>
  </r>
  <r>
    <s v="EKO1225"/>
    <s v="Veronica Brooks"/>
    <n v="28"/>
    <s v="Female"/>
    <x v="1"/>
    <s v="Dr. Musa Bello"/>
    <x v="6"/>
    <d v="2025-05-20T00:00:00"/>
    <d v="2025-06-02T00:00:00"/>
    <n v="244264"/>
    <x v="6"/>
    <n v="2"/>
    <n v="1"/>
    <n v="0"/>
    <x v="10"/>
    <x v="0"/>
    <x v="1"/>
    <s v="OK"/>
    <n v="244264"/>
  </r>
  <r>
    <s v="EKO1227"/>
    <s v="Leah Duncan"/>
    <n v="25"/>
    <s v="Male"/>
    <x v="1"/>
    <s v="Dr. Musa Bello"/>
    <x v="6"/>
    <d v="2025-05-20T00:00:00"/>
    <d v="2025-05-28T00:00:00"/>
    <n v="194641"/>
    <x v="6"/>
    <n v="5"/>
    <n v="1"/>
    <n v="0"/>
    <x v="4"/>
    <x v="0"/>
    <x v="1"/>
    <s v="OK"/>
    <n v="194641"/>
  </r>
  <r>
    <s v="EKO1228"/>
    <s v="James Anderson"/>
    <n v="83"/>
    <s v="Male"/>
    <x v="1"/>
    <s v="Dr. Musa Bello"/>
    <x v="13"/>
    <d v="2025-04-11T00:00:00"/>
    <d v="2025-04-23T00:00:00"/>
    <n v="161204"/>
    <x v="7"/>
    <n v="13"/>
    <n v="4"/>
    <n v="0"/>
    <x v="8"/>
    <x v="2"/>
    <x v="1"/>
    <s v="OK"/>
    <n v="161204"/>
  </r>
  <r>
    <s v="EKO1229"/>
    <s v="Richard Juarez"/>
    <n v="17"/>
    <s v="Male"/>
    <x v="5"/>
    <s v="Dr. Samuel Okoro"/>
    <x v="8"/>
    <d v="2025-03-30T00:00:00"/>
    <d v="2025-04-06T00:00:00"/>
    <n v="177700"/>
    <x v="7"/>
    <n v="10"/>
    <n v="4"/>
    <n v="0"/>
    <x v="11"/>
    <x v="3"/>
    <x v="1"/>
    <s v="OK"/>
    <n v="177700"/>
  </r>
  <r>
    <s v="EKO1230"/>
    <s v="Wanda Solis"/>
    <n v="27"/>
    <s v="Male"/>
    <x v="5"/>
    <s v="Dr. Samuel Okoro"/>
    <x v="8"/>
    <d v="2025-04-08T00:00:00"/>
    <d v="2025-04-22T00:00:00"/>
    <n v="340564"/>
    <x v="2"/>
    <n v="1"/>
    <n v="3"/>
    <n v="0"/>
    <x v="5"/>
    <x v="0"/>
    <x v="1"/>
    <s v="OK"/>
    <n v="340564"/>
  </r>
  <r>
    <s v="EKO1231"/>
    <s v="James Scott"/>
    <n v="77"/>
    <s v="Male"/>
    <x v="4"/>
    <s v="Dr. Tunde Cole"/>
    <x v="5"/>
    <d v="2025-04-27T00:00:00"/>
    <d v="2025-05-11T00:00:00"/>
    <n v="127360"/>
    <x v="4"/>
    <n v="3"/>
    <n v="1"/>
    <n v="227212"/>
    <x v="5"/>
    <x v="2"/>
    <x v="2"/>
    <s v="OK"/>
    <n v="354572"/>
  </r>
  <r>
    <s v="EKO1232"/>
    <s v="Kevin Thompson"/>
    <n v="70"/>
    <s v="Female"/>
    <x v="5"/>
    <s v="Dr. Samuel Okoro"/>
    <x v="8"/>
    <d v="2025-04-08T00:00:00"/>
    <d v="2025-04-12T00:00:00"/>
    <n v="118153"/>
    <x v="8"/>
    <n v="19"/>
    <n v="3"/>
    <n v="0"/>
    <x v="13"/>
    <x v="2"/>
    <x v="2"/>
    <s v="OK"/>
    <n v="118153"/>
  </r>
  <r>
    <s v="EKO1233"/>
    <s v="Jose Mack"/>
    <n v="17"/>
    <s v="Male"/>
    <x v="1"/>
    <s v="Dr. Musa Bello"/>
    <x v="6"/>
    <d v="2025-04-29T00:00:00"/>
    <d v="2025-05-11T00:00:00"/>
    <n v="63516"/>
    <x v="8"/>
    <n v="1"/>
    <n v="1"/>
    <n v="0"/>
    <x v="8"/>
    <x v="3"/>
    <x v="0"/>
    <s v="OK"/>
    <n v="63516"/>
  </r>
  <r>
    <s v="EKO1234"/>
    <s v="Jennifer Owens"/>
    <n v="76"/>
    <s v="Female"/>
    <x v="5"/>
    <s v="Dr. Samuel Okoro"/>
    <x v="8"/>
    <d v="2025-03-30T00:00:00"/>
    <d v="2025-04-13T00:00:00"/>
    <n v="174744"/>
    <x v="7"/>
    <n v="3"/>
    <n v="3"/>
    <n v="0"/>
    <x v="5"/>
    <x v="2"/>
    <x v="1"/>
    <s v="OK"/>
    <n v="174744"/>
  </r>
  <r>
    <s v="EKO1235"/>
    <s v="Joy Davis"/>
    <n v="17"/>
    <s v="Female"/>
    <x v="6"/>
    <s v="Dr. Funke Adebayo"/>
    <x v="11"/>
    <d v="2025-04-11T00:00:00"/>
    <d v="2025-04-17T00:00:00"/>
    <n v="77472"/>
    <x v="8"/>
    <n v="8"/>
    <n v="1"/>
    <n v="0"/>
    <x v="3"/>
    <x v="3"/>
    <x v="0"/>
    <s v="OK"/>
    <n v="77472"/>
  </r>
  <r>
    <s v="EKO1236"/>
    <s v="Carrie Marshall"/>
    <n v="58"/>
    <s v="Female"/>
    <x v="0"/>
    <s v="Dr. Grace Eze"/>
    <x v="0"/>
    <d v="2025-04-15T00:00:00"/>
    <d v="2025-04-18T00:00:00"/>
    <n v="299690"/>
    <x v="7"/>
    <n v="6"/>
    <n v="1"/>
    <n v="0"/>
    <x v="0"/>
    <x v="0"/>
    <x v="1"/>
    <s v="OK"/>
    <n v="299690"/>
  </r>
  <r>
    <s v="EKO1237"/>
    <s v="Kevin Jenkins"/>
    <n v="79"/>
    <s v="Male"/>
    <x v="3"/>
    <s v="Dr. Aisha Lawal"/>
    <x v="3"/>
    <d v="2025-04-12T00:00:00"/>
    <d v="2025-04-22T00:00:00"/>
    <n v="166155"/>
    <x v="6"/>
    <n v="10"/>
    <n v="3"/>
    <n v="0"/>
    <x v="6"/>
    <x v="2"/>
    <x v="1"/>
    <s v="OK"/>
    <n v="166155"/>
  </r>
  <r>
    <s v="EKO1238"/>
    <s v="Alexa Greene"/>
    <n v="8"/>
    <s v="Female"/>
    <x v="3"/>
    <s v="Dr. Aisha Lawal"/>
    <x v="3"/>
    <d v="2025-05-25T00:00:00"/>
    <d v="2025-06-06T00:00:00"/>
    <n v="66331"/>
    <x v="6"/>
    <n v="14"/>
    <n v="3"/>
    <n v="0"/>
    <x v="8"/>
    <x v="1"/>
    <x v="0"/>
    <s v="OK"/>
    <n v="66331"/>
  </r>
  <r>
    <s v="EKO1239"/>
    <s v="Jordan Patrick"/>
    <n v="63"/>
    <s v="Female"/>
    <x v="3"/>
    <s v="Dr. Aisha Lawal"/>
    <x v="12"/>
    <d v="2025-04-12T00:00:00"/>
    <d v="2025-04-24T00:00:00"/>
    <n v="106603"/>
    <x v="0"/>
    <n v="15"/>
    <n v="1"/>
    <n v="0"/>
    <x v="8"/>
    <x v="2"/>
    <x v="2"/>
    <s v="OK"/>
    <n v="106603"/>
  </r>
  <r>
    <s v="EKO1240"/>
    <s v="Reginald Wright"/>
    <n v="19"/>
    <s v="Male"/>
    <x v="1"/>
    <s v="Dr. Musa Bello"/>
    <x v="13"/>
    <d v="2025-05-04T00:00:00"/>
    <d v="2025-05-11T00:00:00"/>
    <n v="368923"/>
    <x v="3"/>
    <n v="12"/>
    <n v="4"/>
    <n v="0"/>
    <x v="11"/>
    <x v="3"/>
    <x v="1"/>
    <s v="OK"/>
    <n v="368923"/>
  </r>
  <r>
    <s v="EKO1241"/>
    <s v="Dawn Williams"/>
    <n v="75"/>
    <s v="Female"/>
    <x v="4"/>
    <s v="Dr. Tunde Cole"/>
    <x v="5"/>
    <d v="2025-05-01T00:00:00"/>
    <d v="2025-05-12T00:00:00"/>
    <n v="381914"/>
    <x v="7"/>
    <n v="6"/>
    <n v="1"/>
    <n v="189878"/>
    <x v="2"/>
    <x v="2"/>
    <x v="1"/>
    <s v="OK"/>
    <n v="571792"/>
  </r>
  <r>
    <s v="EKO1242"/>
    <s v="Daniel Ortiz"/>
    <n v="59"/>
    <s v="Female"/>
    <x v="2"/>
    <s v="Dr. Kelvin Ndukwe"/>
    <x v="2"/>
    <d v="2025-05-18T00:00:00"/>
    <d v="2025-05-28T00:00:00"/>
    <n v="204611"/>
    <x v="0"/>
    <n v="8"/>
    <n v="4"/>
    <n v="0"/>
    <x v="6"/>
    <x v="0"/>
    <x v="1"/>
    <s v="OK"/>
    <n v="204611"/>
  </r>
  <r>
    <s v="EKO1243"/>
    <s v="Richard Wilson"/>
    <n v="84"/>
    <s v="Male"/>
    <x v="5"/>
    <s v="Dr. Samuel Okoro"/>
    <x v="10"/>
    <d v="2025-04-28T00:00:00"/>
    <d v="2025-05-11T00:00:00"/>
    <n v="109985"/>
    <x v="7"/>
    <n v="6"/>
    <n v="1"/>
    <n v="0"/>
    <x v="10"/>
    <x v="2"/>
    <x v="2"/>
    <s v="OK"/>
    <n v="109985"/>
  </r>
  <r>
    <s v="EKO1244"/>
    <s v="James James"/>
    <n v="44"/>
    <s v="Female"/>
    <x v="3"/>
    <s v="Dr. Aisha Lawal"/>
    <x v="3"/>
    <d v="2025-04-20T00:00:00"/>
    <d v="2025-04-25T00:00:00"/>
    <n v="266957"/>
    <x v="8"/>
    <n v="7"/>
    <n v="2"/>
    <n v="0"/>
    <x v="9"/>
    <x v="0"/>
    <x v="1"/>
    <s v="OK"/>
    <n v="266957"/>
  </r>
  <r>
    <s v="EKO1245"/>
    <s v="Frank Young"/>
    <n v="41"/>
    <s v="Female"/>
    <x v="3"/>
    <s v="Dr. Aisha Lawal"/>
    <x v="3"/>
    <d v="2025-04-20T00:00:00"/>
    <d v="2025-05-03T00:00:00"/>
    <n v="99852"/>
    <x v="0"/>
    <n v="6"/>
    <n v="2"/>
    <n v="0"/>
    <x v="10"/>
    <x v="0"/>
    <x v="0"/>
    <s v="OK"/>
    <n v="99852"/>
  </r>
  <r>
    <s v="EKO1246"/>
    <s v="Michael Harris"/>
    <n v="20"/>
    <s v="Female"/>
    <x v="0"/>
    <s v="Dr. Grace Eze"/>
    <x v="0"/>
    <d v="2025-05-25T00:00:00"/>
    <d v="2025-05-31T00:00:00"/>
    <n v="246241"/>
    <x v="0"/>
    <n v="11"/>
    <n v="1"/>
    <n v="0"/>
    <x v="3"/>
    <x v="0"/>
    <x v="1"/>
    <s v="OK"/>
    <n v="246241"/>
  </r>
  <r>
    <s v="EKO1247"/>
    <s v="Nicole Snyder"/>
    <n v="12"/>
    <s v="Female"/>
    <x v="1"/>
    <s v="Dr. Musa Bello"/>
    <x v="13"/>
    <d v="2025-05-22T00:00:00"/>
    <d v="2025-06-06T00:00:00"/>
    <n v="94755"/>
    <x v="4"/>
    <n v="5"/>
    <n v="3"/>
    <n v="0"/>
    <x v="7"/>
    <x v="1"/>
    <x v="0"/>
    <s v="OK"/>
    <n v="94755"/>
  </r>
  <r>
    <s v="EKO1248"/>
    <s v="Erica Chapman"/>
    <n v="17"/>
    <s v="Male"/>
    <x v="0"/>
    <s v="Dr. Grace Eze"/>
    <x v="9"/>
    <d v="2025-05-20T00:00:00"/>
    <d v="2025-06-02T00:00:00"/>
    <n v="245374"/>
    <x v="7"/>
    <n v="1"/>
    <n v="4"/>
    <n v="0"/>
    <x v="10"/>
    <x v="3"/>
    <x v="1"/>
    <s v="OK"/>
    <n v="245374"/>
  </r>
  <r>
    <s v="EKO1249"/>
    <s v="James Martinez"/>
    <n v="46"/>
    <s v="Female"/>
    <x v="0"/>
    <s v="Dr. Grace Eze"/>
    <x v="0"/>
    <d v="2025-05-25T00:00:00"/>
    <d v="2025-05-28T00:00:00"/>
    <n v="265382"/>
    <x v="2"/>
    <n v="10"/>
    <n v="3"/>
    <n v="0"/>
    <x v="0"/>
    <x v="0"/>
    <x v="1"/>
    <s v="OK"/>
    <n v="265382"/>
  </r>
  <r>
    <s v="EKO1250"/>
    <s v="Patrick Brady"/>
    <n v="46"/>
    <s v="Male"/>
    <x v="4"/>
    <s v="Dr. Tunde Cole"/>
    <x v="4"/>
    <d v="2025-04-15T00:00:00"/>
    <d v="2025-04-26T00:00:00"/>
    <n v="213813"/>
    <x v="3"/>
    <n v="6"/>
    <n v="1"/>
    <n v="184007"/>
    <x v="2"/>
    <x v="0"/>
    <x v="1"/>
    <s v="OK"/>
    <n v="397820"/>
  </r>
  <r>
    <s v="EKO1252"/>
    <s v="Angela Bush"/>
    <n v="15"/>
    <s v="Female"/>
    <x v="5"/>
    <s v="Dr. Samuel Okoro"/>
    <x v="8"/>
    <d v="2025-05-11T00:00:00"/>
    <d v="2025-05-21T00:00:00"/>
    <n v="242707"/>
    <x v="2"/>
    <n v="1"/>
    <n v="2"/>
    <n v="0"/>
    <x v="6"/>
    <x v="3"/>
    <x v="1"/>
    <s v="OK"/>
    <n v="242707"/>
  </r>
  <r>
    <s v="EKO1253"/>
    <s v="Kevin Garrett"/>
    <n v="72"/>
    <s v="Male"/>
    <x v="5"/>
    <s v="Dr. Samuel Okoro"/>
    <x v="10"/>
    <d v="2025-04-12T00:00:00"/>
    <d v="2025-04-20T00:00:00"/>
    <n v="493104"/>
    <x v="8"/>
    <n v="17"/>
    <n v="2"/>
    <n v="0"/>
    <x v="4"/>
    <x v="2"/>
    <x v="1"/>
    <s v="OK"/>
    <n v="493104"/>
  </r>
  <r>
    <s v="EKO1254"/>
    <s v="Joshua Hardin"/>
    <n v="90"/>
    <s v="Female"/>
    <x v="1"/>
    <s v="Dr. Musa Bello"/>
    <x v="6"/>
    <d v="2025-05-05T00:00:00"/>
    <d v="2025-05-09T00:00:00"/>
    <n v="193272"/>
    <x v="1"/>
    <n v="4"/>
    <n v="4"/>
    <n v="0"/>
    <x v="13"/>
    <x v="2"/>
    <x v="1"/>
    <s v="OK"/>
    <n v="193272"/>
  </r>
  <r>
    <s v="EKO1255"/>
    <s v="Vickie Middleton"/>
    <n v="19"/>
    <s v="Female"/>
    <x v="4"/>
    <s v="Dr. Tunde Cole"/>
    <x v="4"/>
    <d v="2025-05-25T00:00:00"/>
    <d v="2025-05-27T00:00:00"/>
    <n v="145108"/>
    <x v="6"/>
    <n v="12"/>
    <n v="3"/>
    <n v="238719"/>
    <x v="1"/>
    <x v="3"/>
    <x v="2"/>
    <s v="OK"/>
    <n v="383827"/>
  </r>
  <r>
    <s v="EKO1256"/>
    <s v="David Perkins"/>
    <n v="4"/>
    <s v="Male"/>
    <x v="6"/>
    <s v="Dr. Funke Adebayo"/>
    <x v="11"/>
    <d v="2025-04-17T00:00:00"/>
    <d v="2025-04-30T00:00:00"/>
    <n v="381964"/>
    <x v="2"/>
    <n v="9"/>
    <n v="1"/>
    <n v="0"/>
    <x v="10"/>
    <x v="1"/>
    <x v="1"/>
    <s v="OK"/>
    <n v="381964"/>
  </r>
  <r>
    <s v="EKO1257"/>
    <s v="Derrick Patterson"/>
    <n v="44"/>
    <s v="Male"/>
    <x v="3"/>
    <s v="Dr. Aisha Lawal"/>
    <x v="3"/>
    <d v="2025-04-10T00:00:00"/>
    <d v="2025-04-18T00:00:00"/>
    <n v="287841"/>
    <x v="4"/>
    <n v="5"/>
    <n v="2"/>
    <n v="0"/>
    <x v="4"/>
    <x v="0"/>
    <x v="1"/>
    <s v="OK"/>
    <n v="287841"/>
  </r>
  <r>
    <s v="EKO1258"/>
    <s v="Virginia Armstrong"/>
    <n v="73"/>
    <s v="Male"/>
    <x v="4"/>
    <s v="Dr. Tunde Cole"/>
    <x v="4"/>
    <d v="2025-04-08T00:00:00"/>
    <d v="2025-04-21T00:00:00"/>
    <n v="220070"/>
    <x v="1"/>
    <n v="12"/>
    <n v="3"/>
    <n v="209260"/>
    <x v="10"/>
    <x v="2"/>
    <x v="1"/>
    <s v="OK"/>
    <n v="429330"/>
  </r>
  <r>
    <s v="EKO1259"/>
    <s v="Elizabeth Rich"/>
    <n v="80"/>
    <s v="Male"/>
    <x v="6"/>
    <s v="Dr. Funke Adebayo"/>
    <x v="11"/>
    <d v="2025-05-15T00:00:00"/>
    <d v="2025-05-19T00:00:00"/>
    <n v="445541"/>
    <x v="5"/>
    <n v="7"/>
    <n v="3"/>
    <n v="0"/>
    <x v="13"/>
    <x v="2"/>
    <x v="1"/>
    <s v="OK"/>
    <n v="445541"/>
  </r>
  <r>
    <s v="EKO1260"/>
    <s v="Melissa Green"/>
    <n v="55"/>
    <s v="Female"/>
    <x v="4"/>
    <s v="Dr. Tunde Cole"/>
    <x v="5"/>
    <d v="2025-05-06T00:00:00"/>
    <d v="2025-05-15T00:00:00"/>
    <n v="397046"/>
    <x v="1"/>
    <n v="8"/>
    <n v="2"/>
    <n v="176295"/>
    <x v="12"/>
    <x v="0"/>
    <x v="1"/>
    <s v="OK"/>
    <n v="573341"/>
  </r>
  <r>
    <s v="EKO1261"/>
    <s v="Dr. Diane Mahoney DDS"/>
    <n v="66"/>
    <s v="Male"/>
    <x v="3"/>
    <s v="Dr. Aisha Lawal"/>
    <x v="3"/>
    <d v="2025-05-21T00:00:00"/>
    <d v="2025-05-27T00:00:00"/>
    <n v="163020"/>
    <x v="0"/>
    <n v="7"/>
    <n v="1"/>
    <n v="0"/>
    <x v="3"/>
    <x v="2"/>
    <x v="1"/>
    <s v="OK"/>
    <n v="163020"/>
  </r>
  <r>
    <s v="EKO1262"/>
    <s v="Jennifer Martin"/>
    <n v="87"/>
    <s v="Female"/>
    <x v="3"/>
    <s v="Dr. Aisha Lawal"/>
    <x v="3"/>
    <d v="2025-04-27T00:00:00"/>
    <d v="2025-04-30T00:00:00"/>
    <n v="198502"/>
    <x v="7"/>
    <n v="11"/>
    <n v="4"/>
    <n v="0"/>
    <x v="0"/>
    <x v="2"/>
    <x v="1"/>
    <s v="OK"/>
    <n v="198502"/>
  </r>
  <r>
    <s v="EKO1263"/>
    <s v="Jared Irwin"/>
    <n v="77"/>
    <s v="Male"/>
    <x v="1"/>
    <s v="Dr. Musa Bello"/>
    <x v="13"/>
    <d v="2025-05-03T00:00:00"/>
    <d v="2025-05-08T00:00:00"/>
    <n v="257231"/>
    <x v="8"/>
    <n v="5"/>
    <n v="1"/>
    <n v="0"/>
    <x v="9"/>
    <x v="2"/>
    <x v="1"/>
    <s v="OK"/>
    <n v="257231"/>
  </r>
  <r>
    <s v="EKO1264"/>
    <s v="Dennis Carey"/>
    <n v="18"/>
    <s v="Female"/>
    <x v="6"/>
    <s v="Dr. Funke Adebayo"/>
    <x v="14"/>
    <d v="2025-03-29T00:00:00"/>
    <d v="2025-04-04T00:00:00"/>
    <n v="160747"/>
    <x v="5"/>
    <n v="17"/>
    <n v="1"/>
    <n v="0"/>
    <x v="3"/>
    <x v="3"/>
    <x v="1"/>
    <s v="OK"/>
    <n v="160747"/>
  </r>
  <r>
    <s v="EKO1265"/>
    <s v="Tricia Hughes"/>
    <n v="64"/>
    <s v="Female"/>
    <x v="4"/>
    <s v="Dr. Tunde Cole"/>
    <x v="4"/>
    <d v="2025-05-05T00:00:00"/>
    <d v="2025-05-08T00:00:00"/>
    <n v="54052"/>
    <x v="6"/>
    <n v="19"/>
    <n v="2"/>
    <n v="291189"/>
    <x v="0"/>
    <x v="2"/>
    <x v="0"/>
    <s v="OK"/>
    <n v="345241"/>
  </r>
  <r>
    <s v="EKO1266"/>
    <s v="Rachel Patel"/>
    <n v="30"/>
    <s v="Female"/>
    <x v="6"/>
    <s v="Dr. Funke Adebayo"/>
    <x v="11"/>
    <d v="2025-04-20T00:00:00"/>
    <d v="2025-04-28T00:00:00"/>
    <n v="329226"/>
    <x v="6"/>
    <n v="2"/>
    <n v="4"/>
    <n v="0"/>
    <x v="4"/>
    <x v="0"/>
    <x v="1"/>
    <s v="OK"/>
    <n v="329226"/>
  </r>
  <r>
    <s v="EKO1267"/>
    <s v="Angela Brady"/>
    <n v="6"/>
    <s v="Female"/>
    <x v="3"/>
    <s v="Dr. Aisha Lawal"/>
    <x v="12"/>
    <d v="2025-04-26T00:00:00"/>
    <d v="2025-05-11T00:00:00"/>
    <n v="439043"/>
    <x v="7"/>
    <n v="12"/>
    <n v="2"/>
    <n v="0"/>
    <x v="7"/>
    <x v="1"/>
    <x v="1"/>
    <s v="OK"/>
    <n v="439043"/>
  </r>
  <r>
    <s v="EKO1268"/>
    <s v="Grant Mullins"/>
    <n v="74"/>
    <s v="Female"/>
    <x v="3"/>
    <s v="Dr. Aisha Lawal"/>
    <x v="3"/>
    <d v="2025-04-04T00:00:00"/>
    <d v="2025-04-07T00:00:00"/>
    <n v="214133"/>
    <x v="6"/>
    <n v="17"/>
    <n v="2"/>
    <n v="0"/>
    <x v="0"/>
    <x v="2"/>
    <x v="1"/>
    <s v="OK"/>
    <n v="214133"/>
  </r>
  <r>
    <s v="EKO1269"/>
    <s v="Larry Pierce"/>
    <n v="38"/>
    <s v="Male"/>
    <x v="0"/>
    <s v="Dr. Grace Eze"/>
    <x v="9"/>
    <d v="2025-05-13T00:00:00"/>
    <d v="2025-05-25T00:00:00"/>
    <n v="268991"/>
    <x v="3"/>
    <n v="5"/>
    <n v="2"/>
    <n v="0"/>
    <x v="8"/>
    <x v="0"/>
    <x v="1"/>
    <s v="OK"/>
    <n v="268991"/>
  </r>
  <r>
    <s v="EKO1270"/>
    <s v="Erin Wilcox"/>
    <n v="80"/>
    <s v="Female"/>
    <x v="1"/>
    <s v="Dr. Musa Bello"/>
    <x v="1"/>
    <d v="2025-04-07T00:00:00"/>
    <d v="2025-04-14T00:00:00"/>
    <n v="140111"/>
    <x v="8"/>
    <n v="2"/>
    <n v="2"/>
    <n v="0"/>
    <x v="11"/>
    <x v="2"/>
    <x v="2"/>
    <s v="OK"/>
    <n v="140111"/>
  </r>
  <r>
    <s v="EKO1271"/>
    <s v="Debra Perez"/>
    <n v="14"/>
    <s v="Male"/>
    <x v="4"/>
    <s v="Dr. Tunde Cole"/>
    <x v="5"/>
    <d v="2025-05-19T00:00:00"/>
    <d v="2025-05-22T00:00:00"/>
    <n v="278962"/>
    <x v="6"/>
    <n v="5"/>
    <n v="2"/>
    <n v="106892"/>
    <x v="0"/>
    <x v="3"/>
    <x v="1"/>
    <s v="OK"/>
    <n v="385854"/>
  </r>
  <r>
    <s v="EKO1272"/>
    <s v="Cynthia Schwartz"/>
    <n v="11"/>
    <s v="Female"/>
    <x v="2"/>
    <s v="Dr. Kelvin Ndukwe"/>
    <x v="7"/>
    <d v="2025-04-17T00:00:00"/>
    <d v="2025-04-25T00:00:00"/>
    <n v="324707"/>
    <x v="8"/>
    <n v="6"/>
    <n v="3"/>
    <n v="0"/>
    <x v="4"/>
    <x v="1"/>
    <x v="1"/>
    <s v="OK"/>
    <n v="324707"/>
  </r>
  <r>
    <s v="EKO1273"/>
    <s v="Christopher Stephens"/>
    <n v="43"/>
    <s v="Male"/>
    <x v="0"/>
    <s v="Dr. Grace Eze"/>
    <x v="0"/>
    <d v="2025-04-05T00:00:00"/>
    <d v="2025-04-12T00:00:00"/>
    <n v="166167"/>
    <x v="8"/>
    <n v="9"/>
    <n v="4"/>
    <n v="0"/>
    <x v="11"/>
    <x v="0"/>
    <x v="1"/>
    <s v="OK"/>
    <n v="166167"/>
  </r>
  <r>
    <s v="EKO1274"/>
    <s v="Sara Schneider"/>
    <n v="68"/>
    <s v="Male"/>
    <x v="2"/>
    <s v="Dr. Kelvin Ndukwe"/>
    <x v="7"/>
    <d v="2025-04-26T00:00:00"/>
    <d v="2025-05-08T00:00:00"/>
    <n v="109782"/>
    <x v="5"/>
    <n v="2"/>
    <n v="4"/>
    <n v="0"/>
    <x v="8"/>
    <x v="2"/>
    <x v="2"/>
    <s v="OK"/>
    <n v="109782"/>
  </r>
  <r>
    <s v="EKO1275"/>
    <s v="Kimberly Reyes"/>
    <n v="83"/>
    <s v="Male"/>
    <x v="4"/>
    <s v="Dr. Tunde Cole"/>
    <x v="4"/>
    <d v="2025-05-14T00:00:00"/>
    <d v="2025-05-27T00:00:00"/>
    <n v="479364"/>
    <x v="0"/>
    <n v="17"/>
    <n v="1"/>
    <n v="263788"/>
    <x v="10"/>
    <x v="2"/>
    <x v="1"/>
    <s v="OK"/>
    <n v="743152"/>
  </r>
  <r>
    <s v="EKO1276"/>
    <s v="Pamela Murray"/>
    <n v="26"/>
    <s v="Male"/>
    <x v="1"/>
    <s v="Dr. Musa Bello"/>
    <x v="1"/>
    <d v="2025-04-07T00:00:00"/>
    <d v="2025-04-11T00:00:00"/>
    <n v="184201"/>
    <x v="8"/>
    <n v="9"/>
    <n v="1"/>
    <n v="0"/>
    <x v="13"/>
    <x v="0"/>
    <x v="1"/>
    <s v="OK"/>
    <n v="184201"/>
  </r>
  <r>
    <s v="EKO1277"/>
    <s v="Mitchell Griffin"/>
    <n v="84"/>
    <s v="Male"/>
    <x v="6"/>
    <s v="Dr. Funke Adebayo"/>
    <x v="11"/>
    <d v="2025-03-31T00:00:00"/>
    <d v="2025-04-14T00:00:00"/>
    <n v="448014"/>
    <x v="7"/>
    <n v="5"/>
    <n v="4"/>
    <n v="0"/>
    <x v="5"/>
    <x v="2"/>
    <x v="1"/>
    <s v="OK"/>
    <n v="448014"/>
  </r>
  <r>
    <s v="EKO1278"/>
    <s v="Jill Taylor"/>
    <n v="60"/>
    <s v="Female"/>
    <x v="5"/>
    <s v="Dr. Samuel Okoro"/>
    <x v="10"/>
    <d v="2025-04-22T00:00:00"/>
    <d v="2025-05-04T00:00:00"/>
    <n v="309059"/>
    <x v="6"/>
    <n v="17"/>
    <n v="4"/>
    <n v="0"/>
    <x v="8"/>
    <x v="2"/>
    <x v="1"/>
    <s v="OK"/>
    <n v="309059"/>
  </r>
  <r>
    <s v="EKO1279"/>
    <s v="Ryan Sherman"/>
    <n v="20"/>
    <s v="Female"/>
    <x v="5"/>
    <s v="Dr. Samuel Okoro"/>
    <x v="8"/>
    <d v="2025-04-10T00:00:00"/>
    <d v="2025-04-22T00:00:00"/>
    <n v="215747"/>
    <x v="5"/>
    <n v="8"/>
    <n v="3"/>
    <n v="0"/>
    <x v="8"/>
    <x v="0"/>
    <x v="1"/>
    <s v="OK"/>
    <n v="215747"/>
  </r>
  <r>
    <s v="EKO1280"/>
    <s v="Brittany Miller"/>
    <n v="39"/>
    <s v="Female"/>
    <x v="3"/>
    <s v="Dr. Aisha Lawal"/>
    <x v="12"/>
    <d v="2025-04-06T00:00:00"/>
    <d v="2025-04-15T00:00:00"/>
    <n v="381027"/>
    <x v="2"/>
    <n v="9"/>
    <n v="3"/>
    <n v="0"/>
    <x v="12"/>
    <x v="0"/>
    <x v="1"/>
    <s v="OK"/>
    <n v="381027"/>
  </r>
  <r>
    <s v="EKO1281"/>
    <s v="Jordan Johnson"/>
    <n v="40"/>
    <s v="Female"/>
    <x v="4"/>
    <s v="Dr. Tunde Cole"/>
    <x v="5"/>
    <d v="2025-05-17T00:00:00"/>
    <d v="2025-05-27T00:00:00"/>
    <n v="88897"/>
    <x v="8"/>
    <n v="9"/>
    <n v="4"/>
    <n v="163970"/>
    <x v="6"/>
    <x v="0"/>
    <x v="0"/>
    <s v="OK"/>
    <n v="252867"/>
  </r>
  <r>
    <s v="EKO1282"/>
    <s v="Christina Smith"/>
    <n v="37"/>
    <s v="Male"/>
    <x v="1"/>
    <s v="Dr. Musa Bello"/>
    <x v="1"/>
    <d v="2025-04-12T00:00:00"/>
    <d v="2025-04-14T00:00:00"/>
    <n v="243324"/>
    <x v="3"/>
    <n v="13"/>
    <n v="4"/>
    <n v="0"/>
    <x v="1"/>
    <x v="0"/>
    <x v="1"/>
    <s v="OK"/>
    <n v="243324"/>
  </r>
  <r>
    <s v="EKO1283"/>
    <s v="Sean Johnson"/>
    <n v="79"/>
    <s v="Female"/>
    <x v="5"/>
    <s v="Dr. Samuel Okoro"/>
    <x v="10"/>
    <d v="2025-05-14T00:00:00"/>
    <d v="2025-05-29T00:00:00"/>
    <n v="97341"/>
    <x v="6"/>
    <n v="4"/>
    <n v="4"/>
    <n v="0"/>
    <x v="7"/>
    <x v="2"/>
    <x v="0"/>
    <s v="OK"/>
    <n v="97341"/>
  </r>
  <r>
    <s v="EKO1284"/>
    <s v="Matthew Davis"/>
    <n v="6"/>
    <s v="Female"/>
    <x v="2"/>
    <s v="Dr. Kelvin Ndukwe"/>
    <x v="2"/>
    <d v="2025-05-08T00:00:00"/>
    <d v="2025-05-18T00:00:00"/>
    <n v="465140"/>
    <x v="1"/>
    <n v="9"/>
    <n v="1"/>
    <n v="0"/>
    <x v="6"/>
    <x v="1"/>
    <x v="1"/>
    <s v="OK"/>
    <n v="465140"/>
  </r>
  <r>
    <s v="EKO1285"/>
    <s v="Jane Roberson"/>
    <n v="65"/>
    <s v="Male"/>
    <x v="4"/>
    <s v="Dr. Tunde Cole"/>
    <x v="4"/>
    <d v="2025-04-15T00:00:00"/>
    <d v="2025-04-26T00:00:00"/>
    <n v="299366"/>
    <x v="7"/>
    <n v="17"/>
    <n v="4"/>
    <n v="188482"/>
    <x v="2"/>
    <x v="2"/>
    <x v="1"/>
    <s v="OK"/>
    <n v="487848"/>
  </r>
  <r>
    <s v="EKO1286"/>
    <s v="Michael Curtis"/>
    <n v="44"/>
    <s v="Male"/>
    <x v="3"/>
    <s v="Dr. Aisha Lawal"/>
    <x v="12"/>
    <d v="2025-05-16T00:00:00"/>
    <d v="2025-05-19T00:00:00"/>
    <n v="475180"/>
    <x v="0"/>
    <n v="13"/>
    <n v="2"/>
    <n v="0"/>
    <x v="0"/>
    <x v="0"/>
    <x v="1"/>
    <s v="OK"/>
    <n v="475180"/>
  </r>
  <r>
    <s v="EKO1287"/>
    <s v="Thomas Porter"/>
    <n v="57"/>
    <s v="Female"/>
    <x v="1"/>
    <s v="Dr. Musa Bello"/>
    <x v="1"/>
    <d v="2025-05-03T00:00:00"/>
    <d v="2025-05-08T00:00:00"/>
    <n v="420997"/>
    <x v="8"/>
    <n v="3"/>
    <n v="1"/>
    <n v="0"/>
    <x v="9"/>
    <x v="0"/>
    <x v="1"/>
    <s v="OK"/>
    <n v="420997"/>
  </r>
  <r>
    <s v="EKO1288"/>
    <s v="Gary Ward"/>
    <n v="47"/>
    <s v="Female"/>
    <x v="2"/>
    <s v="Dr. Kelvin Ndukwe"/>
    <x v="7"/>
    <d v="2025-05-03T00:00:00"/>
    <d v="2025-05-14T00:00:00"/>
    <n v="133228"/>
    <x v="2"/>
    <n v="12"/>
    <n v="4"/>
    <n v="0"/>
    <x v="2"/>
    <x v="0"/>
    <x v="2"/>
    <s v="OK"/>
    <n v="133228"/>
  </r>
  <r>
    <s v="EKO1289"/>
    <s v="Richard Crawford"/>
    <n v="44"/>
    <s v="Male"/>
    <x v="3"/>
    <s v="Dr. Aisha Lawal"/>
    <x v="3"/>
    <d v="2025-05-20T00:00:00"/>
    <d v="2025-05-28T00:00:00"/>
    <n v="456042"/>
    <x v="6"/>
    <n v="12"/>
    <n v="3"/>
    <n v="0"/>
    <x v="4"/>
    <x v="0"/>
    <x v="1"/>
    <s v="OK"/>
    <n v="456042"/>
  </r>
  <r>
    <s v="EKO1290"/>
    <s v="Catherine Reid"/>
    <n v="72"/>
    <s v="Female"/>
    <x v="1"/>
    <s v="Dr. Musa Bello"/>
    <x v="6"/>
    <d v="2025-05-09T00:00:00"/>
    <d v="2025-05-16T00:00:00"/>
    <n v="99548"/>
    <x v="1"/>
    <n v="4"/>
    <n v="4"/>
    <n v="0"/>
    <x v="11"/>
    <x v="2"/>
    <x v="0"/>
    <s v="OK"/>
    <n v="99548"/>
  </r>
  <r>
    <s v="EKO1291"/>
    <s v="David Gross"/>
    <n v="85"/>
    <s v="Male"/>
    <x v="4"/>
    <s v="Dr. Tunde Cole"/>
    <x v="5"/>
    <d v="2025-04-18T00:00:00"/>
    <d v="2025-05-01T00:00:00"/>
    <n v="496465"/>
    <x v="6"/>
    <n v="2"/>
    <n v="2"/>
    <n v="172013"/>
    <x v="10"/>
    <x v="2"/>
    <x v="1"/>
    <s v="OK"/>
    <n v="668478"/>
  </r>
  <r>
    <s v="EKO1292"/>
    <s v="Lynn Garcia"/>
    <n v="19"/>
    <s v="Female"/>
    <x v="1"/>
    <s v="Dr. Musa Bello"/>
    <x v="6"/>
    <d v="2025-05-15T00:00:00"/>
    <d v="2025-05-26T00:00:00"/>
    <n v="397923"/>
    <x v="8"/>
    <n v="16"/>
    <n v="2"/>
    <n v="0"/>
    <x v="2"/>
    <x v="3"/>
    <x v="1"/>
    <s v="OK"/>
    <n v="397923"/>
  </r>
  <r>
    <s v="EKO1293"/>
    <s v="Jose Beasley"/>
    <n v="51"/>
    <s v="Male"/>
    <x v="0"/>
    <s v="Dr. Grace Eze"/>
    <x v="0"/>
    <d v="2025-04-25T00:00:00"/>
    <d v="2025-05-08T00:00:00"/>
    <n v="397149"/>
    <x v="6"/>
    <n v="13"/>
    <n v="3"/>
    <n v="0"/>
    <x v="10"/>
    <x v="0"/>
    <x v="1"/>
    <s v="OK"/>
    <n v="397149"/>
  </r>
  <r>
    <s v="EKO1294"/>
    <s v="Paula Russo"/>
    <n v="83"/>
    <s v="Female"/>
    <x v="4"/>
    <s v="Dr. Tunde Cole"/>
    <x v="4"/>
    <d v="2025-05-08T00:00:00"/>
    <d v="2025-05-18T00:00:00"/>
    <n v="247488"/>
    <x v="8"/>
    <n v="10"/>
    <n v="1"/>
    <n v="299843"/>
    <x v="6"/>
    <x v="2"/>
    <x v="1"/>
    <s v="OK"/>
    <n v="547331"/>
  </r>
  <r>
    <s v="EKO1295"/>
    <s v="Kara Solomon"/>
    <n v="88"/>
    <s v="Male"/>
    <x v="0"/>
    <s v="Dr. Grace Eze"/>
    <x v="9"/>
    <d v="2025-04-21T00:00:00"/>
    <d v="2025-05-04T00:00:00"/>
    <n v="484613"/>
    <x v="6"/>
    <n v="3"/>
    <n v="1"/>
    <n v="0"/>
    <x v="10"/>
    <x v="2"/>
    <x v="1"/>
    <s v="OK"/>
    <n v="484613"/>
  </r>
  <r>
    <s v="EKO1296"/>
    <s v="Crystal Brown"/>
    <n v="47"/>
    <s v="Female"/>
    <x v="2"/>
    <s v="Dr. Kelvin Ndukwe"/>
    <x v="2"/>
    <d v="2025-04-01T00:00:00"/>
    <d v="2025-04-08T00:00:00"/>
    <n v="59558"/>
    <x v="3"/>
    <n v="14"/>
    <n v="1"/>
    <n v="0"/>
    <x v="11"/>
    <x v="0"/>
    <x v="0"/>
    <s v="OK"/>
    <n v="59558"/>
  </r>
  <r>
    <s v="EKO1297"/>
    <s v="Valerie Tyler"/>
    <n v="63"/>
    <s v="Male"/>
    <x v="6"/>
    <s v="Dr. Funke Adebayo"/>
    <x v="11"/>
    <d v="2025-05-17T00:00:00"/>
    <d v="2025-05-24T00:00:00"/>
    <n v="451686"/>
    <x v="1"/>
    <n v="6"/>
    <n v="2"/>
    <n v="0"/>
    <x v="11"/>
    <x v="2"/>
    <x v="1"/>
    <s v="OK"/>
    <n v="451686"/>
  </r>
  <r>
    <s v="EKO1298"/>
    <s v="Robert Neal"/>
    <n v="38"/>
    <s v="Male"/>
    <x v="6"/>
    <s v="Dr. Funke Adebayo"/>
    <x v="11"/>
    <d v="2025-04-21T00:00:00"/>
    <d v="2025-04-25T00:00:00"/>
    <n v="90456"/>
    <x v="3"/>
    <n v="6"/>
    <n v="2"/>
    <n v="0"/>
    <x v="13"/>
    <x v="0"/>
    <x v="0"/>
    <s v="OK"/>
    <n v="90456"/>
  </r>
  <r>
    <s v="EKO1299"/>
    <s v="Richard Mccormick DVM"/>
    <n v="80"/>
    <s v="Male"/>
    <x v="0"/>
    <s v="Dr. Grace Eze"/>
    <x v="9"/>
    <d v="2025-05-11T00:00:00"/>
    <d v="2025-05-18T00:00:00"/>
    <n v="451765"/>
    <x v="5"/>
    <n v="19"/>
    <n v="2"/>
    <n v="0"/>
    <x v="11"/>
    <x v="2"/>
    <x v="1"/>
    <s v="OK"/>
    <n v="451765"/>
  </r>
  <r>
    <s v="EKO1301"/>
    <s v="Mr. Corey Brown"/>
    <n v="87"/>
    <s v="Male"/>
    <x v="1"/>
    <s v="Dr. Musa Bello"/>
    <x v="6"/>
    <d v="2025-04-06T00:00:00"/>
    <d v="2025-04-14T00:00:00"/>
    <n v="240997"/>
    <x v="1"/>
    <n v="16"/>
    <n v="1"/>
    <n v="0"/>
    <x v="4"/>
    <x v="2"/>
    <x v="1"/>
    <s v="OK"/>
    <n v="240997"/>
  </r>
  <r>
    <s v="EKO1302"/>
    <s v="Laura Holt"/>
    <n v="58"/>
    <s v="Male"/>
    <x v="2"/>
    <s v="Dr. Kelvin Ndukwe"/>
    <x v="2"/>
    <d v="2025-04-28T00:00:00"/>
    <d v="2025-05-04T00:00:00"/>
    <n v="444469"/>
    <x v="5"/>
    <n v="3"/>
    <n v="3"/>
    <n v="0"/>
    <x v="3"/>
    <x v="0"/>
    <x v="1"/>
    <s v="OK"/>
    <n v="444469"/>
  </r>
  <r>
    <s v="EKO1303"/>
    <s v="Vanessa Erickson"/>
    <n v="61"/>
    <s v="Male"/>
    <x v="4"/>
    <s v="Dr. Tunde Cole"/>
    <x v="5"/>
    <d v="2025-05-05T00:00:00"/>
    <d v="2025-05-19T00:00:00"/>
    <n v="461235"/>
    <x v="7"/>
    <n v="1"/>
    <n v="1"/>
    <n v="121246"/>
    <x v="5"/>
    <x v="2"/>
    <x v="1"/>
    <s v="OK"/>
    <n v="582481"/>
  </r>
  <r>
    <s v="EKO1304"/>
    <s v="Daniel Hartman"/>
    <n v="60"/>
    <s v="Female"/>
    <x v="0"/>
    <s v="Dr. Grace Eze"/>
    <x v="9"/>
    <d v="2025-05-20T00:00:00"/>
    <d v="2025-05-31T00:00:00"/>
    <n v="280999"/>
    <x v="0"/>
    <n v="7"/>
    <n v="3"/>
    <n v="0"/>
    <x v="2"/>
    <x v="2"/>
    <x v="1"/>
    <s v="OK"/>
    <n v="280999"/>
  </r>
  <r>
    <s v="EKO1305"/>
    <s v="Brenda Herrera"/>
    <n v="21"/>
    <s v="Male"/>
    <x v="2"/>
    <s v="Dr. Kelvin Ndukwe"/>
    <x v="2"/>
    <d v="2025-04-04T00:00:00"/>
    <d v="2025-04-14T00:00:00"/>
    <n v="269498"/>
    <x v="8"/>
    <n v="8"/>
    <n v="4"/>
    <n v="0"/>
    <x v="6"/>
    <x v="0"/>
    <x v="1"/>
    <s v="OK"/>
    <n v="269498"/>
  </r>
  <r>
    <s v="EKO1306"/>
    <s v="Nicholas Shepherd"/>
    <n v="83"/>
    <s v="Female"/>
    <x v="5"/>
    <s v="Dr. Samuel Okoro"/>
    <x v="10"/>
    <d v="2025-05-20T00:00:00"/>
    <d v="2025-05-26T00:00:00"/>
    <n v="77357"/>
    <x v="7"/>
    <n v="9"/>
    <n v="3"/>
    <n v="0"/>
    <x v="3"/>
    <x v="2"/>
    <x v="0"/>
    <s v="OK"/>
    <n v="77357"/>
  </r>
  <r>
    <s v="EKO1307"/>
    <s v="Jason Rogers"/>
    <n v="67"/>
    <s v="Male"/>
    <x v="2"/>
    <s v="Dr. Kelvin Ndukwe"/>
    <x v="7"/>
    <d v="2025-05-12T00:00:00"/>
    <d v="2025-05-15T00:00:00"/>
    <n v="422978"/>
    <x v="2"/>
    <n v="1"/>
    <n v="2"/>
    <n v="0"/>
    <x v="0"/>
    <x v="2"/>
    <x v="1"/>
    <s v="OK"/>
    <n v="422978"/>
  </r>
  <r>
    <s v="EKO1308"/>
    <s v="Allison Carter"/>
    <n v="35"/>
    <s v="Female"/>
    <x v="1"/>
    <s v="Dr. Musa Bello"/>
    <x v="1"/>
    <d v="2025-04-05T00:00:00"/>
    <d v="2025-04-19T00:00:00"/>
    <n v="134049"/>
    <x v="7"/>
    <n v="7"/>
    <n v="3"/>
    <n v="0"/>
    <x v="5"/>
    <x v="0"/>
    <x v="2"/>
    <s v="OK"/>
    <n v="134049"/>
  </r>
  <r>
    <s v="EKO1310"/>
    <s v="Christopher Jones"/>
    <n v="7"/>
    <s v="Female"/>
    <x v="4"/>
    <s v="Dr. Tunde Cole"/>
    <x v="5"/>
    <d v="2025-04-09T00:00:00"/>
    <d v="2025-04-11T00:00:00"/>
    <n v="267525"/>
    <x v="5"/>
    <n v="11"/>
    <n v="4"/>
    <n v="108485"/>
    <x v="1"/>
    <x v="1"/>
    <x v="1"/>
    <s v="OK"/>
    <n v="376010"/>
  </r>
  <r>
    <s v="EKO1311"/>
    <s v="Joel Mclaughlin"/>
    <n v="48"/>
    <s v="Male"/>
    <x v="6"/>
    <s v="Dr. Funke Adebayo"/>
    <x v="11"/>
    <d v="2025-05-15T00:00:00"/>
    <d v="2025-05-23T00:00:00"/>
    <n v="92784"/>
    <x v="3"/>
    <n v="10"/>
    <n v="3"/>
    <n v="0"/>
    <x v="4"/>
    <x v="0"/>
    <x v="0"/>
    <s v="OK"/>
    <n v="92784"/>
  </r>
  <r>
    <s v="EKO1312"/>
    <s v="Melvin Taylor"/>
    <n v="84"/>
    <s v="Female"/>
    <x v="4"/>
    <s v="Dr. Tunde Cole"/>
    <x v="4"/>
    <d v="2025-05-03T00:00:00"/>
    <d v="2025-05-06T00:00:00"/>
    <n v="489970"/>
    <x v="5"/>
    <n v="9"/>
    <n v="2"/>
    <n v="281731"/>
    <x v="0"/>
    <x v="2"/>
    <x v="1"/>
    <s v="OK"/>
    <n v="771701"/>
  </r>
  <r>
    <s v="EKO1314"/>
    <s v="Carol Jenkins"/>
    <n v="11"/>
    <s v="Male"/>
    <x v="3"/>
    <s v="Dr. Aisha Lawal"/>
    <x v="3"/>
    <d v="2025-05-11T00:00:00"/>
    <d v="2025-05-22T00:00:00"/>
    <n v="52753"/>
    <x v="7"/>
    <n v="6"/>
    <n v="1"/>
    <n v="0"/>
    <x v="2"/>
    <x v="1"/>
    <x v="0"/>
    <s v="OK"/>
    <n v="52753"/>
  </r>
  <r>
    <s v="EKO1315"/>
    <s v="Mary Maynard DDS"/>
    <n v="71"/>
    <s v="Female"/>
    <x v="6"/>
    <s v="Dr. Funke Adebayo"/>
    <x v="11"/>
    <d v="2025-03-29T00:00:00"/>
    <d v="2025-04-13T00:00:00"/>
    <n v="128391"/>
    <x v="1"/>
    <n v="19"/>
    <n v="4"/>
    <n v="0"/>
    <x v="7"/>
    <x v="2"/>
    <x v="2"/>
    <s v="OK"/>
    <n v="128391"/>
  </r>
  <r>
    <s v="EKO1316"/>
    <s v="Jason Macias"/>
    <n v="39"/>
    <s v="Male"/>
    <x v="5"/>
    <s v="Dr. Samuel Okoro"/>
    <x v="8"/>
    <d v="2025-04-17T00:00:00"/>
    <d v="2025-04-23T00:00:00"/>
    <n v="174591"/>
    <x v="0"/>
    <n v="17"/>
    <n v="3"/>
    <n v="0"/>
    <x v="3"/>
    <x v="0"/>
    <x v="1"/>
    <s v="OK"/>
    <n v="174591"/>
  </r>
  <r>
    <s v="EKO1317"/>
    <s v="Phillip Hoffman"/>
    <n v="80"/>
    <s v="Female"/>
    <x v="6"/>
    <s v="Dr. Funke Adebayo"/>
    <x v="11"/>
    <d v="2025-04-02T00:00:00"/>
    <d v="2025-04-10T00:00:00"/>
    <n v="384994"/>
    <x v="2"/>
    <n v="8"/>
    <n v="4"/>
    <n v="0"/>
    <x v="4"/>
    <x v="2"/>
    <x v="1"/>
    <s v="OK"/>
    <n v="384994"/>
  </r>
  <r>
    <s v="EKO1318"/>
    <s v="Angela Campbell"/>
    <n v="77"/>
    <s v="Male"/>
    <x v="1"/>
    <s v="Dr. Musa Bello"/>
    <x v="1"/>
    <d v="2025-04-16T00:00:00"/>
    <d v="2025-05-01T00:00:00"/>
    <n v="312054"/>
    <x v="3"/>
    <n v="8"/>
    <n v="1"/>
    <n v="0"/>
    <x v="7"/>
    <x v="2"/>
    <x v="1"/>
    <s v="OK"/>
    <n v="312054"/>
  </r>
  <r>
    <s v="EKO1319"/>
    <s v="Kristen Perry"/>
    <n v="19"/>
    <s v="Female"/>
    <x v="2"/>
    <s v="Dr. Kelvin Ndukwe"/>
    <x v="7"/>
    <d v="2025-05-03T00:00:00"/>
    <d v="2025-05-14T00:00:00"/>
    <n v="176845"/>
    <x v="5"/>
    <n v="17"/>
    <n v="2"/>
    <n v="0"/>
    <x v="2"/>
    <x v="3"/>
    <x v="1"/>
    <s v="OK"/>
    <n v="176845"/>
  </r>
  <r>
    <s v="EKO1320"/>
    <s v="Tanya Obrien"/>
    <n v="31"/>
    <s v="Female"/>
    <x v="1"/>
    <s v="Dr. Musa Bello"/>
    <x v="13"/>
    <d v="2025-05-04T00:00:00"/>
    <d v="2025-05-15T00:00:00"/>
    <n v="234977"/>
    <x v="8"/>
    <n v="9"/>
    <n v="4"/>
    <n v="0"/>
    <x v="2"/>
    <x v="0"/>
    <x v="1"/>
    <s v="OK"/>
    <n v="234977"/>
  </r>
  <r>
    <s v="EKO1321"/>
    <s v="Phillip Cantrell"/>
    <n v="68"/>
    <s v="Female"/>
    <x v="0"/>
    <s v="Dr. Grace Eze"/>
    <x v="0"/>
    <d v="2025-04-15T00:00:00"/>
    <d v="2025-04-27T00:00:00"/>
    <n v="94886"/>
    <x v="1"/>
    <n v="1"/>
    <n v="4"/>
    <n v="0"/>
    <x v="8"/>
    <x v="2"/>
    <x v="0"/>
    <s v="OK"/>
    <n v="94886"/>
  </r>
  <r>
    <s v="EKO1322"/>
    <s v="Joseph Williams"/>
    <n v="65"/>
    <s v="Male"/>
    <x v="2"/>
    <s v="Dr. Kelvin Ndukwe"/>
    <x v="7"/>
    <d v="2025-05-25T00:00:00"/>
    <d v="2025-06-04T00:00:00"/>
    <n v="315985"/>
    <x v="8"/>
    <n v="12"/>
    <n v="2"/>
    <n v="0"/>
    <x v="6"/>
    <x v="2"/>
    <x v="1"/>
    <s v="OK"/>
    <n v="315985"/>
  </r>
  <r>
    <s v="EKO1323"/>
    <s v="Jon Hobbs"/>
    <n v="82"/>
    <s v="Female"/>
    <x v="5"/>
    <s v="Dr. Samuel Okoro"/>
    <x v="10"/>
    <d v="2025-05-15T00:00:00"/>
    <d v="2025-05-24T00:00:00"/>
    <n v="72824"/>
    <x v="5"/>
    <n v="6"/>
    <n v="4"/>
    <n v="0"/>
    <x v="12"/>
    <x v="2"/>
    <x v="0"/>
    <s v="OK"/>
    <n v="72824"/>
  </r>
  <r>
    <s v="EKO1324"/>
    <s v="Breanna Terry"/>
    <n v="46"/>
    <s v="Male"/>
    <x v="4"/>
    <s v="Dr. Tunde Cole"/>
    <x v="5"/>
    <d v="2025-04-19T00:00:00"/>
    <d v="2025-05-02T00:00:00"/>
    <n v="58515"/>
    <x v="0"/>
    <n v="19"/>
    <n v="1"/>
    <n v="188839"/>
    <x v="10"/>
    <x v="0"/>
    <x v="0"/>
    <s v="OK"/>
    <n v="247354"/>
  </r>
  <r>
    <s v="EKO1326"/>
    <s v="Amy Anderson"/>
    <n v="70"/>
    <s v="Female"/>
    <x v="6"/>
    <s v="Dr. Funke Adebayo"/>
    <x v="11"/>
    <d v="2025-05-13T00:00:00"/>
    <d v="2025-05-15T00:00:00"/>
    <n v="234706"/>
    <x v="0"/>
    <n v="19"/>
    <n v="3"/>
    <n v="0"/>
    <x v="1"/>
    <x v="2"/>
    <x v="1"/>
    <s v="OK"/>
    <n v="234706"/>
  </r>
  <r>
    <s v="EKO1327"/>
    <s v="Melissa King"/>
    <n v="60"/>
    <s v="Female"/>
    <x v="5"/>
    <s v="Dr. Samuel Okoro"/>
    <x v="8"/>
    <d v="2025-04-24T00:00:00"/>
    <d v="2025-05-08T00:00:00"/>
    <n v="408970"/>
    <x v="3"/>
    <n v="15"/>
    <n v="1"/>
    <n v="0"/>
    <x v="5"/>
    <x v="2"/>
    <x v="1"/>
    <s v="OK"/>
    <n v="408970"/>
  </r>
  <r>
    <s v="EKO1328"/>
    <s v="Megan Martinez"/>
    <n v="59"/>
    <s v="Male"/>
    <x v="5"/>
    <s v="Dr. Samuel Okoro"/>
    <x v="10"/>
    <d v="2025-04-21T00:00:00"/>
    <d v="2025-04-25T00:00:00"/>
    <n v="83082"/>
    <x v="2"/>
    <n v="14"/>
    <n v="2"/>
    <n v="0"/>
    <x v="13"/>
    <x v="0"/>
    <x v="0"/>
    <s v="OK"/>
    <n v="83082"/>
  </r>
  <r>
    <s v="EKO1330"/>
    <s v="Michelle Hill"/>
    <n v="70"/>
    <s v="Female"/>
    <x v="4"/>
    <s v="Dr. Tunde Cole"/>
    <x v="5"/>
    <d v="2025-04-21T00:00:00"/>
    <d v="2025-05-01T00:00:00"/>
    <n v="258784"/>
    <x v="3"/>
    <n v="10"/>
    <n v="4"/>
    <n v="180022"/>
    <x v="6"/>
    <x v="2"/>
    <x v="1"/>
    <s v="OK"/>
    <n v="438806"/>
  </r>
  <r>
    <s v="EKO1331"/>
    <s v="Jaime Brown"/>
    <n v="25"/>
    <s v="Female"/>
    <x v="1"/>
    <s v="Dr. Musa Bello"/>
    <x v="6"/>
    <d v="2025-05-21T00:00:00"/>
    <d v="2025-06-04T00:00:00"/>
    <n v="389162"/>
    <x v="5"/>
    <n v="1"/>
    <n v="2"/>
    <n v="0"/>
    <x v="5"/>
    <x v="0"/>
    <x v="1"/>
    <s v="OK"/>
    <n v="389162"/>
  </r>
  <r>
    <s v="EKO1332"/>
    <s v="Tina Goodwin DVM"/>
    <n v="84"/>
    <s v="Female"/>
    <x v="5"/>
    <s v="Dr. Samuel Okoro"/>
    <x v="10"/>
    <d v="2025-04-11T00:00:00"/>
    <d v="2025-04-25T00:00:00"/>
    <n v="75063"/>
    <x v="8"/>
    <n v="11"/>
    <n v="2"/>
    <n v="0"/>
    <x v="5"/>
    <x v="2"/>
    <x v="0"/>
    <s v="OK"/>
    <n v="75063"/>
  </r>
  <r>
    <s v="EKO1333"/>
    <s v="Michael Williams"/>
    <n v="56"/>
    <s v="Female"/>
    <x v="1"/>
    <s v="Dr. Musa Bello"/>
    <x v="1"/>
    <d v="2025-04-11T00:00:00"/>
    <d v="2025-04-25T00:00:00"/>
    <n v="242948"/>
    <x v="3"/>
    <n v="15"/>
    <n v="3"/>
    <n v="0"/>
    <x v="5"/>
    <x v="0"/>
    <x v="1"/>
    <s v="OK"/>
    <n v="242948"/>
  </r>
  <r>
    <s v="EKO1334"/>
    <s v="Beth Summers"/>
    <n v="24"/>
    <s v="Female"/>
    <x v="3"/>
    <s v="Dr. Aisha Lawal"/>
    <x v="3"/>
    <d v="2025-04-28T00:00:00"/>
    <d v="2025-05-06T00:00:00"/>
    <n v="227752"/>
    <x v="4"/>
    <n v="9"/>
    <n v="4"/>
    <n v="0"/>
    <x v="4"/>
    <x v="0"/>
    <x v="1"/>
    <s v="OK"/>
    <n v="227752"/>
  </r>
  <r>
    <s v="EKO1335"/>
    <s v="Jill Lawson"/>
    <n v="35"/>
    <s v="Male"/>
    <x v="4"/>
    <s v="Dr. Tunde Cole"/>
    <x v="5"/>
    <d v="2025-04-10T00:00:00"/>
    <d v="2025-04-24T00:00:00"/>
    <n v="322250"/>
    <x v="6"/>
    <n v="2"/>
    <n v="4"/>
    <n v="139727"/>
    <x v="5"/>
    <x v="0"/>
    <x v="1"/>
    <s v="OK"/>
    <n v="461977"/>
  </r>
  <r>
    <s v="EKO1336"/>
    <s v="Patrick Green"/>
    <n v="24"/>
    <s v="Female"/>
    <x v="1"/>
    <s v="Dr. Musa Bello"/>
    <x v="6"/>
    <d v="2025-04-10T00:00:00"/>
    <d v="2025-04-18T00:00:00"/>
    <n v="365859"/>
    <x v="7"/>
    <n v="8"/>
    <n v="2"/>
    <n v="0"/>
    <x v="4"/>
    <x v="0"/>
    <x v="1"/>
    <s v="OK"/>
    <n v="365859"/>
  </r>
  <r>
    <s v="EKO1337"/>
    <s v="Melissa Brown"/>
    <n v="85"/>
    <s v="Female"/>
    <x v="1"/>
    <s v="Dr. Musa Bello"/>
    <x v="6"/>
    <d v="2025-04-08T00:00:00"/>
    <d v="2025-04-11T00:00:00"/>
    <n v="221924"/>
    <x v="2"/>
    <n v="13"/>
    <n v="1"/>
    <n v="0"/>
    <x v="0"/>
    <x v="2"/>
    <x v="1"/>
    <s v="OK"/>
    <n v="221924"/>
  </r>
  <r>
    <s v="EKO1338"/>
    <s v="Leslie Lopez"/>
    <n v="55"/>
    <s v="Male"/>
    <x v="3"/>
    <s v="Dr. Aisha Lawal"/>
    <x v="3"/>
    <d v="2025-04-01T00:00:00"/>
    <d v="2025-04-12T00:00:00"/>
    <n v="426262"/>
    <x v="4"/>
    <n v="9"/>
    <n v="1"/>
    <n v="0"/>
    <x v="2"/>
    <x v="0"/>
    <x v="1"/>
    <s v="OK"/>
    <n v="426262"/>
  </r>
  <r>
    <s v="EKO1339"/>
    <s v="Stephen Hernandez"/>
    <n v="46"/>
    <s v="Female"/>
    <x v="4"/>
    <s v="Dr. Tunde Cole"/>
    <x v="5"/>
    <d v="2025-05-04T00:00:00"/>
    <d v="2025-05-13T00:00:00"/>
    <n v="72206"/>
    <x v="3"/>
    <n v="15"/>
    <n v="2"/>
    <n v="106175"/>
    <x v="12"/>
    <x v="0"/>
    <x v="0"/>
    <s v="OK"/>
    <n v="178381"/>
  </r>
  <r>
    <s v="EKO1340"/>
    <s v="Barbara Erickson"/>
    <n v="10"/>
    <s v="Female"/>
    <x v="0"/>
    <s v="Dr. Grace Eze"/>
    <x v="9"/>
    <d v="2025-05-21T00:00:00"/>
    <d v="2025-06-04T00:00:00"/>
    <n v="80072"/>
    <x v="6"/>
    <n v="11"/>
    <n v="4"/>
    <n v="0"/>
    <x v="5"/>
    <x v="1"/>
    <x v="0"/>
    <s v="OK"/>
    <n v="80072"/>
  </r>
  <r>
    <s v="EKO1341"/>
    <s v="Kelly Ramirez"/>
    <n v="87"/>
    <s v="Male"/>
    <x v="2"/>
    <s v="Dr. Kelvin Ndukwe"/>
    <x v="2"/>
    <d v="2025-04-23T00:00:00"/>
    <d v="2025-05-07T00:00:00"/>
    <n v="443162"/>
    <x v="1"/>
    <n v="5"/>
    <n v="4"/>
    <n v="0"/>
    <x v="5"/>
    <x v="2"/>
    <x v="1"/>
    <s v="OK"/>
    <n v="443162"/>
  </r>
  <r>
    <s v="EKO1342"/>
    <s v="Ashley Alvarez"/>
    <n v="87"/>
    <s v="Female"/>
    <x v="6"/>
    <s v="Dr. Funke Adebayo"/>
    <x v="11"/>
    <d v="2025-05-15T00:00:00"/>
    <d v="2025-05-30T00:00:00"/>
    <n v="368543"/>
    <x v="6"/>
    <n v="10"/>
    <n v="3"/>
    <n v="0"/>
    <x v="7"/>
    <x v="2"/>
    <x v="1"/>
    <s v="OK"/>
    <n v="368543"/>
  </r>
  <r>
    <s v="EKO1344"/>
    <s v="Tiffany Brown"/>
    <n v="78"/>
    <s v="Male"/>
    <x v="3"/>
    <s v="Dr. Aisha Lawal"/>
    <x v="3"/>
    <d v="2025-05-14T00:00:00"/>
    <d v="2025-05-25T00:00:00"/>
    <n v="66979"/>
    <x v="2"/>
    <n v="3"/>
    <n v="1"/>
    <n v="0"/>
    <x v="2"/>
    <x v="2"/>
    <x v="0"/>
    <s v="OK"/>
    <n v="66979"/>
  </r>
  <r>
    <s v="EKO1345"/>
    <s v="Alan Payne"/>
    <n v="10"/>
    <s v="Male"/>
    <x v="4"/>
    <s v="Dr. Tunde Cole"/>
    <x v="5"/>
    <d v="2025-05-25T00:00:00"/>
    <d v="2025-06-01T00:00:00"/>
    <n v="282752"/>
    <x v="0"/>
    <n v="17"/>
    <n v="1"/>
    <n v="191837"/>
    <x v="11"/>
    <x v="1"/>
    <x v="1"/>
    <s v="OK"/>
    <n v="474589"/>
  </r>
  <r>
    <s v="EKO1346"/>
    <s v="Sarah West"/>
    <n v="36"/>
    <s v="Male"/>
    <x v="3"/>
    <s v="Dr. Aisha Lawal"/>
    <x v="12"/>
    <d v="2025-05-11T00:00:00"/>
    <d v="2025-05-18T00:00:00"/>
    <n v="390556"/>
    <x v="1"/>
    <n v="17"/>
    <n v="4"/>
    <n v="0"/>
    <x v="11"/>
    <x v="0"/>
    <x v="1"/>
    <s v="OK"/>
    <n v="390556"/>
  </r>
  <r>
    <s v="EKO1347"/>
    <s v="Evan Collins"/>
    <n v="64"/>
    <s v="Female"/>
    <x v="1"/>
    <s v="Dr. Musa Bello"/>
    <x v="1"/>
    <d v="2025-04-25T00:00:00"/>
    <d v="2025-05-08T00:00:00"/>
    <n v="147542"/>
    <x v="4"/>
    <n v="6"/>
    <n v="2"/>
    <n v="0"/>
    <x v="10"/>
    <x v="2"/>
    <x v="2"/>
    <s v="OK"/>
    <n v="147542"/>
  </r>
  <r>
    <s v="EKO1348"/>
    <s v="Alexandra Johnson"/>
    <n v="34"/>
    <s v="Female"/>
    <x v="1"/>
    <s v="Dr. Musa Bello"/>
    <x v="13"/>
    <d v="2025-03-31T00:00:00"/>
    <d v="2025-04-06T00:00:00"/>
    <n v="456304"/>
    <x v="2"/>
    <n v="6"/>
    <n v="3"/>
    <n v="0"/>
    <x v="3"/>
    <x v="0"/>
    <x v="1"/>
    <s v="OK"/>
    <n v="456304"/>
  </r>
  <r>
    <s v="EKO1349"/>
    <s v="Raven Walter"/>
    <n v="63"/>
    <s v="Male"/>
    <x v="2"/>
    <s v="Dr. Kelvin Ndukwe"/>
    <x v="2"/>
    <d v="2025-04-02T00:00:00"/>
    <d v="2025-04-08T00:00:00"/>
    <n v="413845"/>
    <x v="6"/>
    <n v="5"/>
    <n v="3"/>
    <n v="0"/>
    <x v="3"/>
    <x v="2"/>
    <x v="1"/>
    <s v="OK"/>
    <n v="413845"/>
  </r>
  <r>
    <s v="EKO1351"/>
    <s v="Brenda Campbell"/>
    <n v="41"/>
    <s v="Female"/>
    <x v="1"/>
    <s v="Dr. Musa Bello"/>
    <x v="1"/>
    <d v="2025-05-19T00:00:00"/>
    <d v="2025-06-02T00:00:00"/>
    <n v="407527"/>
    <x v="8"/>
    <n v="2"/>
    <n v="3"/>
    <n v="0"/>
    <x v="5"/>
    <x v="0"/>
    <x v="1"/>
    <s v="OK"/>
    <n v="407527"/>
  </r>
  <r>
    <s v="EKO1352"/>
    <s v="Allison Hayes"/>
    <n v="38"/>
    <s v="Female"/>
    <x v="1"/>
    <s v="Dr. Musa Bello"/>
    <x v="13"/>
    <d v="2025-05-16T00:00:00"/>
    <d v="2025-05-26T00:00:00"/>
    <n v="334253"/>
    <x v="4"/>
    <n v="2"/>
    <n v="3"/>
    <n v="0"/>
    <x v="6"/>
    <x v="0"/>
    <x v="1"/>
    <s v="OK"/>
    <n v="334253"/>
  </r>
  <r>
    <s v="EKO1353"/>
    <s v="Maria Jones"/>
    <n v="82"/>
    <s v="Male"/>
    <x v="0"/>
    <s v="Dr. Grace Eze"/>
    <x v="9"/>
    <d v="2025-04-08T00:00:00"/>
    <d v="2025-04-21T00:00:00"/>
    <n v="417116"/>
    <x v="4"/>
    <n v="12"/>
    <n v="2"/>
    <n v="0"/>
    <x v="10"/>
    <x v="2"/>
    <x v="1"/>
    <s v="OK"/>
    <n v="417116"/>
  </r>
  <r>
    <s v="EKO1354"/>
    <s v="Daniel Daniels"/>
    <n v="26"/>
    <s v="Male"/>
    <x v="2"/>
    <s v="Dr. Kelvin Ndukwe"/>
    <x v="2"/>
    <d v="2025-04-12T00:00:00"/>
    <d v="2025-04-17T00:00:00"/>
    <n v="113628"/>
    <x v="2"/>
    <n v="4"/>
    <n v="4"/>
    <n v="0"/>
    <x v="9"/>
    <x v="0"/>
    <x v="2"/>
    <s v="OK"/>
    <n v="113628"/>
  </r>
  <r>
    <s v="EKO1355"/>
    <s v="Kelly Hughes"/>
    <n v="47"/>
    <s v="Female"/>
    <x v="5"/>
    <s v="Dr. Samuel Okoro"/>
    <x v="10"/>
    <d v="2025-04-24T00:00:00"/>
    <d v="2025-05-03T00:00:00"/>
    <n v="63780"/>
    <x v="7"/>
    <n v="15"/>
    <n v="2"/>
    <n v="0"/>
    <x v="12"/>
    <x v="0"/>
    <x v="0"/>
    <s v="OK"/>
    <n v="63780"/>
  </r>
  <r>
    <s v="EKO1356"/>
    <s v="Jennifer Allison"/>
    <n v="79"/>
    <s v="Male"/>
    <x v="5"/>
    <s v="Dr. Samuel Okoro"/>
    <x v="8"/>
    <d v="2025-04-03T00:00:00"/>
    <d v="2025-04-13T00:00:00"/>
    <n v="118037"/>
    <x v="7"/>
    <n v="14"/>
    <n v="1"/>
    <n v="0"/>
    <x v="6"/>
    <x v="2"/>
    <x v="2"/>
    <s v="OK"/>
    <n v="118037"/>
  </r>
  <r>
    <s v="EKO1357"/>
    <s v="William Robbins"/>
    <n v="62"/>
    <s v="Female"/>
    <x v="4"/>
    <s v="Dr. Tunde Cole"/>
    <x v="5"/>
    <d v="2025-05-11T00:00:00"/>
    <d v="2025-05-19T00:00:00"/>
    <n v="425879"/>
    <x v="6"/>
    <n v="19"/>
    <n v="2"/>
    <n v="187246"/>
    <x v="4"/>
    <x v="2"/>
    <x v="1"/>
    <s v="OK"/>
    <n v="613125"/>
  </r>
  <r>
    <s v="EKO1358"/>
    <s v="Tracy Fernandez"/>
    <n v="17"/>
    <s v="Female"/>
    <x v="5"/>
    <s v="Dr. Samuel Okoro"/>
    <x v="8"/>
    <d v="2025-05-12T00:00:00"/>
    <d v="2025-05-23T00:00:00"/>
    <n v="88666"/>
    <x v="8"/>
    <n v="2"/>
    <n v="1"/>
    <n v="0"/>
    <x v="2"/>
    <x v="3"/>
    <x v="0"/>
    <s v="OK"/>
    <n v="88666"/>
  </r>
  <r>
    <s v="EKO1359"/>
    <s v="Miguel Neal"/>
    <n v="67"/>
    <s v="Female"/>
    <x v="3"/>
    <s v="Dr. Aisha Lawal"/>
    <x v="12"/>
    <d v="2025-04-02T00:00:00"/>
    <d v="2025-04-11T00:00:00"/>
    <n v="406572"/>
    <x v="6"/>
    <n v="14"/>
    <n v="3"/>
    <n v="0"/>
    <x v="12"/>
    <x v="2"/>
    <x v="1"/>
    <s v="OK"/>
    <n v="406572"/>
  </r>
  <r>
    <s v="EKO1360"/>
    <s v="Tara Walker"/>
    <n v="82"/>
    <s v="Male"/>
    <x v="5"/>
    <s v="Dr. Samuel Okoro"/>
    <x v="8"/>
    <d v="2025-04-26T00:00:00"/>
    <d v="2025-05-10T00:00:00"/>
    <n v="339041"/>
    <x v="6"/>
    <n v="4"/>
    <n v="3"/>
    <n v="0"/>
    <x v="5"/>
    <x v="2"/>
    <x v="1"/>
    <s v="OK"/>
    <n v="339041"/>
  </r>
  <r>
    <s v="EKO1361"/>
    <s v="Danielle Gomez"/>
    <n v="16"/>
    <s v="Male"/>
    <x v="3"/>
    <s v="Dr. Aisha Lawal"/>
    <x v="3"/>
    <d v="2025-04-04T00:00:00"/>
    <d v="2025-04-14T00:00:00"/>
    <n v="79052"/>
    <x v="3"/>
    <n v="15"/>
    <n v="2"/>
    <n v="0"/>
    <x v="6"/>
    <x v="3"/>
    <x v="0"/>
    <s v="OK"/>
    <n v="79052"/>
  </r>
  <r>
    <s v="EKO1362"/>
    <s v="Terri Ball"/>
    <n v="29"/>
    <s v="Female"/>
    <x v="6"/>
    <s v="Dr. Funke Adebayo"/>
    <x v="14"/>
    <d v="2025-04-25T00:00:00"/>
    <d v="2025-04-29T00:00:00"/>
    <n v="219167"/>
    <x v="5"/>
    <n v="19"/>
    <n v="4"/>
    <n v="0"/>
    <x v="13"/>
    <x v="0"/>
    <x v="1"/>
    <s v="OK"/>
    <n v="219167"/>
  </r>
  <r>
    <s v="EKO1363"/>
    <s v="Anna Harris"/>
    <n v="26"/>
    <s v="Female"/>
    <x v="5"/>
    <s v="Dr. Samuel Okoro"/>
    <x v="8"/>
    <d v="2025-05-21T00:00:00"/>
    <d v="2025-05-24T00:00:00"/>
    <n v="181389"/>
    <x v="2"/>
    <n v="9"/>
    <n v="3"/>
    <n v="0"/>
    <x v="0"/>
    <x v="0"/>
    <x v="1"/>
    <s v="OK"/>
    <n v="181389"/>
  </r>
  <r>
    <s v="EKO1364"/>
    <s v="Zachary Doyle"/>
    <n v="69"/>
    <s v="Male"/>
    <x v="0"/>
    <s v="Dr. Grace Eze"/>
    <x v="0"/>
    <d v="2025-04-10T00:00:00"/>
    <d v="2025-04-16T00:00:00"/>
    <n v="372137"/>
    <x v="2"/>
    <n v="16"/>
    <n v="1"/>
    <n v="0"/>
    <x v="3"/>
    <x v="2"/>
    <x v="1"/>
    <s v="OK"/>
    <n v="372137"/>
  </r>
  <r>
    <s v="EKO1365"/>
    <s v="Elizabeth Pham"/>
    <n v="22"/>
    <s v="Female"/>
    <x v="2"/>
    <s v="Dr. Kelvin Ndukwe"/>
    <x v="2"/>
    <d v="2025-04-30T00:00:00"/>
    <d v="2025-05-11T00:00:00"/>
    <n v="130842"/>
    <x v="5"/>
    <n v="12"/>
    <n v="3"/>
    <n v="0"/>
    <x v="2"/>
    <x v="0"/>
    <x v="2"/>
    <s v="OK"/>
    <n v="130842"/>
  </r>
  <r>
    <s v="EKO1366"/>
    <s v="Michelle Rice"/>
    <n v="11"/>
    <s v="Male"/>
    <x v="5"/>
    <s v="Dr. Samuel Okoro"/>
    <x v="10"/>
    <d v="2025-04-29T00:00:00"/>
    <d v="2025-05-14T00:00:00"/>
    <n v="64875"/>
    <x v="3"/>
    <n v="15"/>
    <n v="3"/>
    <n v="0"/>
    <x v="7"/>
    <x v="1"/>
    <x v="0"/>
    <s v="OK"/>
    <n v="64875"/>
  </r>
  <r>
    <s v="EKO1367"/>
    <s v="Michael Campbell"/>
    <n v="74"/>
    <s v="Female"/>
    <x v="0"/>
    <s v="Dr. Grace Eze"/>
    <x v="0"/>
    <d v="2025-04-06T00:00:00"/>
    <d v="2025-04-11T00:00:00"/>
    <n v="452107"/>
    <x v="8"/>
    <n v="17"/>
    <n v="1"/>
    <n v="0"/>
    <x v="9"/>
    <x v="2"/>
    <x v="1"/>
    <s v="OK"/>
    <n v="452107"/>
  </r>
  <r>
    <s v="EKO1368"/>
    <s v="Alicia Holland"/>
    <n v="38"/>
    <s v="Female"/>
    <x v="3"/>
    <s v="Dr. Aisha Lawal"/>
    <x v="3"/>
    <d v="2025-04-14T00:00:00"/>
    <d v="2025-04-26T00:00:00"/>
    <n v="336039"/>
    <x v="3"/>
    <n v="14"/>
    <n v="4"/>
    <n v="0"/>
    <x v="8"/>
    <x v="0"/>
    <x v="1"/>
    <s v="OK"/>
    <n v="336039"/>
  </r>
  <r>
    <s v="EKO1370"/>
    <s v="Christopher Santana"/>
    <n v="8"/>
    <s v="Male"/>
    <x v="3"/>
    <s v="Dr. Aisha Lawal"/>
    <x v="3"/>
    <d v="2025-04-24T00:00:00"/>
    <d v="2025-04-27T00:00:00"/>
    <n v="411031"/>
    <x v="4"/>
    <n v="6"/>
    <n v="4"/>
    <n v="0"/>
    <x v="0"/>
    <x v="1"/>
    <x v="1"/>
    <s v="OK"/>
    <n v="411031"/>
  </r>
  <r>
    <s v="EKO1371"/>
    <s v="Timothy Mitchell"/>
    <n v="27"/>
    <s v="Female"/>
    <x v="3"/>
    <s v="Dr. Aisha Lawal"/>
    <x v="12"/>
    <d v="2025-04-30T00:00:00"/>
    <d v="2025-05-09T00:00:00"/>
    <n v="293501"/>
    <x v="6"/>
    <n v="3"/>
    <n v="2"/>
    <n v="0"/>
    <x v="12"/>
    <x v="0"/>
    <x v="1"/>
    <s v="OK"/>
    <n v="293501"/>
  </r>
  <r>
    <s v="EKO1372"/>
    <s v="Thomas Solis"/>
    <n v="41"/>
    <s v="Female"/>
    <x v="4"/>
    <s v="Dr. Tunde Cole"/>
    <x v="5"/>
    <d v="2025-05-14T00:00:00"/>
    <d v="2025-05-29T00:00:00"/>
    <n v="426629"/>
    <x v="5"/>
    <n v="6"/>
    <n v="4"/>
    <n v="292794"/>
    <x v="7"/>
    <x v="0"/>
    <x v="1"/>
    <s v="OK"/>
    <n v="719423"/>
  </r>
  <r>
    <s v="EKO1374"/>
    <s v="Sherry Hart"/>
    <n v="35"/>
    <s v="Female"/>
    <x v="6"/>
    <s v="Dr. Funke Adebayo"/>
    <x v="11"/>
    <d v="2025-04-21T00:00:00"/>
    <d v="2025-04-30T00:00:00"/>
    <n v="114236"/>
    <x v="7"/>
    <n v="12"/>
    <n v="3"/>
    <n v="0"/>
    <x v="12"/>
    <x v="0"/>
    <x v="2"/>
    <s v="OK"/>
    <n v="114236"/>
  </r>
  <r>
    <s v="EKO1375"/>
    <s v="Terry Page"/>
    <n v="38"/>
    <s v="Female"/>
    <x v="6"/>
    <s v="Dr. Funke Adebayo"/>
    <x v="14"/>
    <d v="2025-04-09T00:00:00"/>
    <d v="2025-04-12T00:00:00"/>
    <n v="76531"/>
    <x v="3"/>
    <n v="6"/>
    <n v="3"/>
    <n v="0"/>
    <x v="0"/>
    <x v="0"/>
    <x v="0"/>
    <s v="OK"/>
    <n v="76531"/>
  </r>
  <r>
    <s v="EKO1376"/>
    <s v="Elizabeth Walker"/>
    <n v="42"/>
    <s v="Female"/>
    <x v="6"/>
    <s v="Dr. Funke Adebayo"/>
    <x v="11"/>
    <d v="2025-04-10T00:00:00"/>
    <d v="2025-04-25T00:00:00"/>
    <n v="133728"/>
    <x v="5"/>
    <n v="6"/>
    <n v="3"/>
    <n v="0"/>
    <x v="7"/>
    <x v="0"/>
    <x v="2"/>
    <s v="OK"/>
    <n v="133728"/>
  </r>
  <r>
    <s v="EKO1377"/>
    <s v="Charles Ward"/>
    <n v="66"/>
    <s v="Female"/>
    <x v="5"/>
    <s v="Dr. Samuel Okoro"/>
    <x v="10"/>
    <d v="2025-05-25T00:00:00"/>
    <d v="2025-05-29T00:00:00"/>
    <n v="311234"/>
    <x v="1"/>
    <n v="14"/>
    <n v="2"/>
    <n v="0"/>
    <x v="13"/>
    <x v="2"/>
    <x v="1"/>
    <s v="OK"/>
    <n v="311234"/>
  </r>
  <r>
    <s v="EKO1378"/>
    <s v="Stephanie Chan"/>
    <n v="12"/>
    <s v="Female"/>
    <x v="4"/>
    <s v="Dr. Tunde Cole"/>
    <x v="5"/>
    <d v="2025-04-26T00:00:00"/>
    <d v="2025-05-05T00:00:00"/>
    <n v="62151"/>
    <x v="7"/>
    <n v="8"/>
    <n v="4"/>
    <n v="204500"/>
    <x v="12"/>
    <x v="1"/>
    <x v="0"/>
    <s v="OK"/>
    <n v="266651"/>
  </r>
  <r>
    <s v="EKO1379"/>
    <s v="Susan Pennington"/>
    <n v="46"/>
    <s v="Male"/>
    <x v="6"/>
    <s v="Dr. Funke Adebayo"/>
    <x v="11"/>
    <d v="2025-04-06T00:00:00"/>
    <d v="2025-04-11T00:00:00"/>
    <n v="355840"/>
    <x v="2"/>
    <n v="17"/>
    <n v="1"/>
    <n v="0"/>
    <x v="9"/>
    <x v="0"/>
    <x v="1"/>
    <s v="OK"/>
    <n v="355840"/>
  </r>
  <r>
    <s v="EKO1380"/>
    <s v="Leslie Davis"/>
    <n v="84"/>
    <s v="Female"/>
    <x v="4"/>
    <s v="Dr. Tunde Cole"/>
    <x v="5"/>
    <d v="2025-04-23T00:00:00"/>
    <d v="2025-05-02T00:00:00"/>
    <n v="363271"/>
    <x v="0"/>
    <n v="15"/>
    <n v="1"/>
    <n v="255259"/>
    <x v="12"/>
    <x v="2"/>
    <x v="1"/>
    <s v="OK"/>
    <n v="618530"/>
  </r>
  <r>
    <s v="EKO1381"/>
    <s v="Shawn Vaughn"/>
    <n v="14"/>
    <s v="Female"/>
    <x v="2"/>
    <s v="Dr. Kelvin Ndukwe"/>
    <x v="2"/>
    <d v="2025-04-19T00:00:00"/>
    <d v="2025-04-21T00:00:00"/>
    <n v="494162"/>
    <x v="3"/>
    <n v="3"/>
    <n v="4"/>
    <n v="0"/>
    <x v="1"/>
    <x v="3"/>
    <x v="1"/>
    <s v="OK"/>
    <n v="494162"/>
  </r>
  <r>
    <s v="EKO1382"/>
    <s v="Cheyenne Neal MD"/>
    <n v="52"/>
    <s v="Female"/>
    <x v="4"/>
    <s v="Dr. Tunde Cole"/>
    <x v="4"/>
    <d v="2025-04-03T00:00:00"/>
    <d v="2025-04-16T00:00:00"/>
    <n v="241772"/>
    <x v="4"/>
    <n v="15"/>
    <n v="3"/>
    <n v="134539"/>
    <x v="10"/>
    <x v="0"/>
    <x v="1"/>
    <s v="OK"/>
    <n v="376311"/>
  </r>
  <r>
    <s v="EKO1383"/>
    <s v="Daniel Villa"/>
    <n v="72"/>
    <s v="Male"/>
    <x v="3"/>
    <s v="Dr. Aisha Lawal"/>
    <x v="3"/>
    <d v="2025-05-19T00:00:00"/>
    <d v="2025-05-21T00:00:00"/>
    <n v="348991"/>
    <x v="4"/>
    <n v="6"/>
    <n v="4"/>
    <n v="0"/>
    <x v="1"/>
    <x v="2"/>
    <x v="1"/>
    <s v="OK"/>
    <n v="348991"/>
  </r>
  <r>
    <s v="EKO1384"/>
    <s v="Troy Johnson"/>
    <n v="50"/>
    <s v="Female"/>
    <x v="2"/>
    <s v="Dr. Kelvin Ndukwe"/>
    <x v="7"/>
    <d v="2025-05-03T00:00:00"/>
    <d v="2025-05-09T00:00:00"/>
    <n v="88551"/>
    <x v="3"/>
    <n v="2"/>
    <n v="1"/>
    <n v="0"/>
    <x v="3"/>
    <x v="0"/>
    <x v="0"/>
    <s v="OK"/>
    <n v="88551"/>
  </r>
  <r>
    <s v="EKO1385"/>
    <s v="Jeremy Baker"/>
    <n v="79"/>
    <s v="Male"/>
    <x v="5"/>
    <s v="Dr. Samuel Okoro"/>
    <x v="8"/>
    <d v="2025-05-08T00:00:00"/>
    <d v="2025-05-19T00:00:00"/>
    <n v="406724"/>
    <x v="1"/>
    <n v="9"/>
    <n v="3"/>
    <n v="0"/>
    <x v="2"/>
    <x v="2"/>
    <x v="1"/>
    <s v="OK"/>
    <n v="406724"/>
  </r>
  <r>
    <s v="EKO1386"/>
    <s v="Rachel Adkins"/>
    <n v="44"/>
    <s v="Female"/>
    <x v="1"/>
    <s v="Dr. Musa Bello"/>
    <x v="13"/>
    <d v="2025-05-15T00:00:00"/>
    <d v="2025-05-23T00:00:00"/>
    <n v="245663"/>
    <x v="7"/>
    <n v="3"/>
    <n v="2"/>
    <n v="0"/>
    <x v="4"/>
    <x v="0"/>
    <x v="1"/>
    <s v="OK"/>
    <n v="245663"/>
  </r>
  <r>
    <s v="EKO1387"/>
    <s v="Bryan Cole"/>
    <n v="52"/>
    <s v="Male"/>
    <x v="6"/>
    <s v="Dr. Funke Adebayo"/>
    <x v="11"/>
    <d v="2025-05-14T00:00:00"/>
    <d v="2025-05-25T00:00:00"/>
    <n v="316926"/>
    <x v="8"/>
    <n v="6"/>
    <n v="1"/>
    <n v="0"/>
    <x v="2"/>
    <x v="0"/>
    <x v="1"/>
    <s v="OK"/>
    <n v="316926"/>
  </r>
  <r>
    <s v="EKO1388"/>
    <s v="Lawrence Miller"/>
    <n v="43"/>
    <s v="Female"/>
    <x v="1"/>
    <s v="Dr. Musa Bello"/>
    <x v="1"/>
    <d v="2025-04-10T00:00:00"/>
    <d v="2025-04-14T00:00:00"/>
    <n v="424127"/>
    <x v="3"/>
    <n v="9"/>
    <n v="1"/>
    <n v="0"/>
    <x v="13"/>
    <x v="0"/>
    <x v="1"/>
    <s v="OK"/>
    <n v="424127"/>
  </r>
  <r>
    <s v="EKO1389"/>
    <s v="Timothy Smith"/>
    <n v="66"/>
    <s v="Male"/>
    <x v="3"/>
    <s v="Dr. Aisha Lawal"/>
    <x v="3"/>
    <d v="2025-04-04T00:00:00"/>
    <d v="2025-04-08T00:00:00"/>
    <n v="367855"/>
    <x v="3"/>
    <n v="18"/>
    <n v="2"/>
    <n v="0"/>
    <x v="13"/>
    <x v="2"/>
    <x v="1"/>
    <s v="OK"/>
    <n v="367855"/>
  </r>
  <r>
    <s v="EKO1390"/>
    <s v="Daniel Contreras"/>
    <n v="51"/>
    <s v="Female"/>
    <x v="2"/>
    <s v="Dr. Kelvin Ndukwe"/>
    <x v="7"/>
    <d v="2025-05-18T00:00:00"/>
    <d v="2025-05-25T00:00:00"/>
    <n v="135197"/>
    <x v="3"/>
    <n v="18"/>
    <n v="4"/>
    <n v="0"/>
    <x v="11"/>
    <x v="0"/>
    <x v="2"/>
    <s v="OK"/>
    <n v="135197"/>
  </r>
  <r>
    <s v="EKO1391"/>
    <s v="Luke Simpson"/>
    <n v="69"/>
    <s v="Female"/>
    <x v="2"/>
    <s v="Dr. Kelvin Ndukwe"/>
    <x v="7"/>
    <d v="2025-05-09T00:00:00"/>
    <d v="2025-05-24T00:00:00"/>
    <n v="317236"/>
    <x v="4"/>
    <n v="9"/>
    <n v="4"/>
    <n v="0"/>
    <x v="7"/>
    <x v="2"/>
    <x v="1"/>
    <s v="OK"/>
    <n v="317236"/>
  </r>
  <r>
    <s v="EKO1392"/>
    <s v="Sonya Daniels"/>
    <n v="48"/>
    <s v="Female"/>
    <x v="3"/>
    <s v="Dr. Aisha Lawal"/>
    <x v="12"/>
    <d v="2025-05-05T00:00:00"/>
    <d v="2025-05-20T00:00:00"/>
    <n v="58722"/>
    <x v="6"/>
    <n v="2"/>
    <n v="2"/>
    <n v="0"/>
    <x v="7"/>
    <x v="0"/>
    <x v="0"/>
    <s v="OK"/>
    <n v="58722"/>
  </r>
  <r>
    <s v="EKO1393"/>
    <s v="Patricia Mccarthy"/>
    <n v="89"/>
    <s v="Male"/>
    <x v="3"/>
    <s v="Dr. Aisha Lawal"/>
    <x v="3"/>
    <d v="2025-05-12T00:00:00"/>
    <d v="2025-05-23T00:00:00"/>
    <n v="211311"/>
    <x v="3"/>
    <n v="3"/>
    <n v="3"/>
    <n v="0"/>
    <x v="2"/>
    <x v="2"/>
    <x v="1"/>
    <s v="OK"/>
    <n v="211311"/>
  </r>
  <r>
    <s v="EKO1394"/>
    <s v="Christina Bennett"/>
    <n v="75"/>
    <s v="Male"/>
    <x v="4"/>
    <s v="Dr. Tunde Cole"/>
    <x v="4"/>
    <d v="2025-05-07T00:00:00"/>
    <d v="2025-05-19T00:00:00"/>
    <n v="460467"/>
    <x v="7"/>
    <n v="9"/>
    <n v="4"/>
    <n v="271613"/>
    <x v="8"/>
    <x v="2"/>
    <x v="1"/>
    <s v="OK"/>
    <n v="732080"/>
  </r>
  <r>
    <s v="EKO1395"/>
    <s v="Michelle Bennett"/>
    <n v="68"/>
    <s v="Female"/>
    <x v="2"/>
    <s v="Dr. Kelvin Ndukwe"/>
    <x v="2"/>
    <d v="2025-04-03T00:00:00"/>
    <d v="2025-04-12T00:00:00"/>
    <n v="139397"/>
    <x v="1"/>
    <n v="15"/>
    <n v="3"/>
    <n v="0"/>
    <x v="12"/>
    <x v="2"/>
    <x v="2"/>
    <s v="OK"/>
    <n v="139397"/>
  </r>
  <r>
    <s v="EKO1396"/>
    <s v="Randall Larsen"/>
    <n v="5"/>
    <s v="Male"/>
    <x v="5"/>
    <s v="Dr. Samuel Okoro"/>
    <x v="8"/>
    <d v="2025-04-03T00:00:00"/>
    <d v="2025-04-15T00:00:00"/>
    <n v="176980"/>
    <x v="5"/>
    <n v="13"/>
    <n v="1"/>
    <n v="0"/>
    <x v="8"/>
    <x v="1"/>
    <x v="1"/>
    <s v="OK"/>
    <n v="176980"/>
  </r>
  <r>
    <s v="EKO1397"/>
    <s v="Thomas Thompson"/>
    <n v="54"/>
    <s v="Male"/>
    <x v="1"/>
    <s v="Dr. Musa Bello"/>
    <x v="6"/>
    <d v="2025-05-22T00:00:00"/>
    <d v="2025-05-31T00:00:00"/>
    <n v="214465"/>
    <x v="6"/>
    <n v="16"/>
    <n v="3"/>
    <n v="0"/>
    <x v="12"/>
    <x v="0"/>
    <x v="1"/>
    <s v="OK"/>
    <n v="214465"/>
  </r>
  <r>
    <s v="EKO1398"/>
    <s v="Shawn Smith"/>
    <n v="65"/>
    <s v="Female"/>
    <x v="0"/>
    <s v="Dr. Grace Eze"/>
    <x v="0"/>
    <d v="2025-04-13T00:00:00"/>
    <d v="2025-04-18T00:00:00"/>
    <n v="265155"/>
    <x v="6"/>
    <n v="11"/>
    <n v="4"/>
    <n v="0"/>
    <x v="9"/>
    <x v="2"/>
    <x v="1"/>
    <s v="OK"/>
    <n v="265155"/>
  </r>
  <r>
    <s v="EKO1399"/>
    <s v="Shannon Carroll"/>
    <n v="27"/>
    <s v="Female"/>
    <x v="0"/>
    <s v="Dr. Grace Eze"/>
    <x v="9"/>
    <d v="2025-05-05T00:00:00"/>
    <d v="2025-05-09T00:00:00"/>
    <n v="321939"/>
    <x v="0"/>
    <n v="16"/>
    <n v="3"/>
    <n v="0"/>
    <x v="13"/>
    <x v="0"/>
    <x v="1"/>
    <s v="OK"/>
    <n v="321939"/>
  </r>
  <r>
    <s v="EKO1400"/>
    <s v="Crystal Hicks"/>
    <n v="23"/>
    <s v="Female"/>
    <x v="2"/>
    <s v="Dr. Kelvin Ndukwe"/>
    <x v="7"/>
    <d v="2025-05-15T00:00:00"/>
    <d v="2025-05-23T00:00:00"/>
    <n v="214496"/>
    <x v="1"/>
    <n v="16"/>
    <n v="1"/>
    <n v="0"/>
    <x v="4"/>
    <x v="0"/>
    <x v="1"/>
    <s v="OK"/>
    <n v="214496"/>
  </r>
  <r>
    <s v="EKO1401"/>
    <s v="Frederick Castro"/>
    <n v="88"/>
    <s v="Female"/>
    <x v="2"/>
    <s v="Dr. Kelvin Ndukwe"/>
    <x v="7"/>
    <d v="2025-05-11T00:00:00"/>
    <d v="2025-05-18T00:00:00"/>
    <n v="404349"/>
    <x v="6"/>
    <n v="19"/>
    <n v="4"/>
    <n v="0"/>
    <x v="11"/>
    <x v="2"/>
    <x v="1"/>
    <s v="OK"/>
    <n v="404349"/>
  </r>
  <r>
    <s v="EKO1402"/>
    <s v="Mary Myers"/>
    <n v="72"/>
    <s v="Female"/>
    <x v="6"/>
    <s v="Dr. Funke Adebayo"/>
    <x v="11"/>
    <d v="2025-04-19T00:00:00"/>
    <d v="2025-04-24T00:00:00"/>
    <n v="196279"/>
    <x v="7"/>
    <n v="8"/>
    <n v="2"/>
    <n v="0"/>
    <x v="9"/>
    <x v="2"/>
    <x v="1"/>
    <s v="OK"/>
    <n v="196279"/>
  </r>
  <r>
    <s v="EKO1403"/>
    <s v="Michael Howard"/>
    <n v="27"/>
    <s v="Female"/>
    <x v="4"/>
    <s v="Dr. Tunde Cole"/>
    <x v="5"/>
    <d v="2025-04-15T00:00:00"/>
    <d v="2025-04-29T00:00:00"/>
    <n v="201521"/>
    <x v="2"/>
    <n v="17"/>
    <n v="4"/>
    <n v="187273"/>
    <x v="5"/>
    <x v="0"/>
    <x v="1"/>
    <s v="OK"/>
    <n v="388794"/>
  </r>
  <r>
    <s v="EKO1404"/>
    <s v="Alexandra Walter"/>
    <n v="36"/>
    <s v="Female"/>
    <x v="3"/>
    <s v="Dr. Aisha Lawal"/>
    <x v="12"/>
    <d v="2025-03-30T00:00:00"/>
    <d v="2025-04-06T00:00:00"/>
    <n v="343856"/>
    <x v="0"/>
    <n v="7"/>
    <n v="4"/>
    <n v="0"/>
    <x v="11"/>
    <x v="0"/>
    <x v="1"/>
    <s v="OK"/>
    <n v="343856"/>
  </r>
  <r>
    <s v="EKO1405"/>
    <s v="William Palmer"/>
    <n v="49"/>
    <s v="Female"/>
    <x v="2"/>
    <s v="Dr. Kelvin Ndukwe"/>
    <x v="7"/>
    <d v="2025-05-15T00:00:00"/>
    <d v="2025-05-27T00:00:00"/>
    <n v="334788"/>
    <x v="7"/>
    <n v="9"/>
    <n v="4"/>
    <n v="0"/>
    <x v="8"/>
    <x v="0"/>
    <x v="1"/>
    <s v="OK"/>
    <n v="334788"/>
  </r>
  <r>
    <s v="EKO1406"/>
    <s v="Pamela Mcdaniel"/>
    <n v="38"/>
    <s v="Male"/>
    <x v="5"/>
    <s v="Dr. Samuel Okoro"/>
    <x v="10"/>
    <d v="2025-05-25T00:00:00"/>
    <d v="2025-06-08T00:00:00"/>
    <n v="126795"/>
    <x v="5"/>
    <n v="19"/>
    <n v="4"/>
    <n v="0"/>
    <x v="5"/>
    <x v="0"/>
    <x v="2"/>
    <s v="OK"/>
    <n v="126795"/>
  </r>
  <r>
    <s v="EKO1407"/>
    <s v="Calvin Richards"/>
    <n v="57"/>
    <s v="Female"/>
    <x v="0"/>
    <s v="Dr. Grace Eze"/>
    <x v="9"/>
    <d v="2025-04-20T00:00:00"/>
    <d v="2025-04-23T00:00:00"/>
    <n v="231594"/>
    <x v="6"/>
    <n v="6"/>
    <n v="3"/>
    <n v="0"/>
    <x v="0"/>
    <x v="0"/>
    <x v="1"/>
    <s v="OK"/>
    <n v="231594"/>
  </r>
  <r>
    <s v="EKO1409"/>
    <s v="Kelly Lopez"/>
    <n v="76"/>
    <s v="Male"/>
    <x v="6"/>
    <s v="Dr. Funke Adebayo"/>
    <x v="11"/>
    <d v="2025-05-14T00:00:00"/>
    <d v="2025-05-17T00:00:00"/>
    <n v="372792"/>
    <x v="4"/>
    <n v="5"/>
    <n v="4"/>
    <n v="0"/>
    <x v="0"/>
    <x v="2"/>
    <x v="1"/>
    <s v="OK"/>
    <n v="372792"/>
  </r>
  <r>
    <s v="EKO1410"/>
    <s v="William Ritter"/>
    <n v="29"/>
    <s v="Male"/>
    <x v="1"/>
    <s v="Dr. Musa Bello"/>
    <x v="13"/>
    <d v="2025-05-10T00:00:00"/>
    <d v="2025-05-22T00:00:00"/>
    <n v="328418"/>
    <x v="5"/>
    <n v="9"/>
    <n v="2"/>
    <n v="0"/>
    <x v="8"/>
    <x v="0"/>
    <x v="1"/>
    <s v="OK"/>
    <n v="328418"/>
  </r>
  <r>
    <s v="EKO1411"/>
    <s v="Lori Lynch"/>
    <n v="61"/>
    <s v="Male"/>
    <x v="1"/>
    <s v="Dr. Musa Bello"/>
    <x v="1"/>
    <d v="2025-04-15T00:00:00"/>
    <d v="2025-04-23T00:00:00"/>
    <n v="223168"/>
    <x v="6"/>
    <n v="10"/>
    <n v="1"/>
    <n v="0"/>
    <x v="4"/>
    <x v="2"/>
    <x v="1"/>
    <s v="OK"/>
    <n v="223168"/>
  </r>
  <r>
    <s v="EKO1412"/>
    <s v="Marvin Tucker"/>
    <n v="71"/>
    <s v="Male"/>
    <x v="5"/>
    <s v="Dr. Samuel Okoro"/>
    <x v="10"/>
    <d v="2025-05-03T00:00:00"/>
    <d v="2025-05-07T00:00:00"/>
    <n v="52716"/>
    <x v="5"/>
    <n v="8"/>
    <n v="4"/>
    <n v="0"/>
    <x v="13"/>
    <x v="2"/>
    <x v="0"/>
    <s v="OK"/>
    <n v="52716"/>
  </r>
  <r>
    <s v="EKO1413"/>
    <s v="Jessica Parks"/>
    <n v="84"/>
    <s v="Male"/>
    <x v="0"/>
    <s v="Dr. Grace Eze"/>
    <x v="9"/>
    <d v="2025-05-02T00:00:00"/>
    <d v="2025-05-11T00:00:00"/>
    <n v="300320"/>
    <x v="5"/>
    <n v="4"/>
    <n v="4"/>
    <n v="0"/>
    <x v="12"/>
    <x v="2"/>
    <x v="1"/>
    <s v="OK"/>
    <n v="300320"/>
  </r>
  <r>
    <s v="EKO1414"/>
    <s v="John Nichols"/>
    <n v="8"/>
    <s v="Male"/>
    <x v="4"/>
    <s v="Dr. Tunde Cole"/>
    <x v="4"/>
    <d v="2025-04-12T00:00:00"/>
    <d v="2025-04-18T00:00:00"/>
    <n v="388636"/>
    <x v="1"/>
    <n v="10"/>
    <n v="2"/>
    <n v="277795"/>
    <x v="3"/>
    <x v="1"/>
    <x v="1"/>
    <s v="OK"/>
    <n v="666431"/>
  </r>
  <r>
    <s v="EKO1415"/>
    <s v="Hannah Garner"/>
    <n v="5"/>
    <s v="Male"/>
    <x v="2"/>
    <s v="Dr. Kelvin Ndukwe"/>
    <x v="7"/>
    <d v="2025-05-08T00:00:00"/>
    <d v="2025-05-21T00:00:00"/>
    <n v="429121"/>
    <x v="3"/>
    <n v="3"/>
    <n v="2"/>
    <n v="0"/>
    <x v="10"/>
    <x v="1"/>
    <x v="1"/>
    <s v="OK"/>
    <n v="429121"/>
  </r>
  <r>
    <s v="EKO1416"/>
    <s v="Ronnie Adkins"/>
    <n v="51"/>
    <s v="Female"/>
    <x v="5"/>
    <s v="Dr. Samuel Okoro"/>
    <x v="8"/>
    <d v="2025-05-14T00:00:00"/>
    <d v="2025-05-18T00:00:00"/>
    <n v="69052"/>
    <x v="3"/>
    <n v="17"/>
    <n v="2"/>
    <n v="0"/>
    <x v="13"/>
    <x v="0"/>
    <x v="0"/>
    <s v="OK"/>
    <n v="69052"/>
  </r>
  <r>
    <s v="EKO1417"/>
    <s v="Edward Barry"/>
    <n v="5"/>
    <s v="Male"/>
    <x v="0"/>
    <s v="Dr. Grace Eze"/>
    <x v="9"/>
    <d v="2025-04-21T00:00:00"/>
    <d v="2025-05-06T00:00:00"/>
    <n v="201764"/>
    <x v="3"/>
    <n v="8"/>
    <n v="1"/>
    <n v="0"/>
    <x v="7"/>
    <x v="1"/>
    <x v="1"/>
    <s v="OK"/>
    <n v="201764"/>
  </r>
  <r>
    <s v="EKO1418"/>
    <s v="David Alexander"/>
    <n v="43"/>
    <s v="Female"/>
    <x v="2"/>
    <s v="Dr. Kelvin Ndukwe"/>
    <x v="7"/>
    <d v="2025-04-29T00:00:00"/>
    <d v="2025-05-10T00:00:00"/>
    <n v="106256"/>
    <x v="0"/>
    <n v="1"/>
    <n v="4"/>
    <n v="0"/>
    <x v="2"/>
    <x v="0"/>
    <x v="2"/>
    <s v="OK"/>
    <n v="106256"/>
  </r>
  <r>
    <s v="EKO1419"/>
    <s v="Paul Kim"/>
    <n v="64"/>
    <s v="Male"/>
    <x v="0"/>
    <s v="Dr. Grace Eze"/>
    <x v="9"/>
    <d v="2025-04-17T00:00:00"/>
    <d v="2025-04-27T00:00:00"/>
    <n v="324893"/>
    <x v="8"/>
    <n v="6"/>
    <n v="2"/>
    <n v="0"/>
    <x v="6"/>
    <x v="2"/>
    <x v="1"/>
    <s v="OK"/>
    <n v="324893"/>
  </r>
  <r>
    <s v="EKO1420"/>
    <s v="Connie Carter"/>
    <n v="15"/>
    <s v="Female"/>
    <x v="4"/>
    <s v="Dr. Tunde Cole"/>
    <x v="4"/>
    <d v="2025-04-05T00:00:00"/>
    <d v="2025-04-10T00:00:00"/>
    <n v="474051"/>
    <x v="1"/>
    <n v="16"/>
    <n v="4"/>
    <n v="106699"/>
    <x v="9"/>
    <x v="3"/>
    <x v="1"/>
    <s v="OK"/>
    <n v="580750"/>
  </r>
  <r>
    <s v="EKO1421"/>
    <s v="Jennifer Francis"/>
    <n v="33"/>
    <s v="Male"/>
    <x v="0"/>
    <s v="Dr. Grace Eze"/>
    <x v="0"/>
    <d v="2025-05-09T00:00:00"/>
    <d v="2025-05-18T00:00:00"/>
    <n v="389888"/>
    <x v="7"/>
    <n v="8"/>
    <n v="2"/>
    <n v="0"/>
    <x v="12"/>
    <x v="0"/>
    <x v="1"/>
    <s v="OK"/>
    <n v="389888"/>
  </r>
  <r>
    <s v="EKO1422"/>
    <s v="Charles Allen"/>
    <n v="38"/>
    <s v="Male"/>
    <x v="0"/>
    <s v="Dr. Grace Eze"/>
    <x v="0"/>
    <d v="2025-04-10T00:00:00"/>
    <d v="2025-04-17T00:00:00"/>
    <n v="464589"/>
    <x v="5"/>
    <n v="4"/>
    <n v="1"/>
    <n v="0"/>
    <x v="11"/>
    <x v="0"/>
    <x v="1"/>
    <s v="OK"/>
    <n v="464589"/>
  </r>
  <r>
    <s v="EKO1423"/>
    <s v="Jennifer Moon"/>
    <n v="52"/>
    <s v="Female"/>
    <x v="2"/>
    <s v="Dr. Kelvin Ndukwe"/>
    <x v="7"/>
    <d v="2025-05-03T00:00:00"/>
    <d v="2025-05-18T00:00:00"/>
    <n v="384876"/>
    <x v="0"/>
    <n v="8"/>
    <n v="2"/>
    <n v="0"/>
    <x v="7"/>
    <x v="0"/>
    <x v="1"/>
    <s v="OK"/>
    <n v="384876"/>
  </r>
  <r>
    <s v="EKO1424"/>
    <s v="Kyle Payne"/>
    <n v="13"/>
    <s v="Male"/>
    <x v="1"/>
    <s v="Dr. Musa Bello"/>
    <x v="13"/>
    <d v="2025-04-02T00:00:00"/>
    <d v="2025-04-10T00:00:00"/>
    <n v="400882"/>
    <x v="1"/>
    <n v="11"/>
    <n v="4"/>
    <n v="0"/>
    <x v="4"/>
    <x v="3"/>
    <x v="1"/>
    <s v="OK"/>
    <n v="400882"/>
  </r>
  <r>
    <s v="EKO1425"/>
    <s v="Brianna Bush"/>
    <n v="1"/>
    <s v="Female"/>
    <x v="3"/>
    <s v="Dr. Aisha Lawal"/>
    <x v="3"/>
    <d v="2025-04-18T00:00:00"/>
    <d v="2025-04-25T00:00:00"/>
    <n v="180048"/>
    <x v="2"/>
    <n v="3"/>
    <n v="2"/>
    <n v="0"/>
    <x v="11"/>
    <x v="1"/>
    <x v="1"/>
    <s v="OK"/>
    <n v="180048"/>
  </r>
  <r>
    <s v="EKO1426"/>
    <s v="Joshua Cox"/>
    <n v="35"/>
    <s v="Female"/>
    <x v="6"/>
    <s v="Dr. Funke Adebayo"/>
    <x v="14"/>
    <d v="2025-04-21T00:00:00"/>
    <d v="2025-04-30T00:00:00"/>
    <n v="445185"/>
    <x v="1"/>
    <n v="19"/>
    <n v="3"/>
    <n v="0"/>
    <x v="12"/>
    <x v="0"/>
    <x v="1"/>
    <s v="OK"/>
    <n v="445185"/>
  </r>
  <r>
    <s v="EKO1427"/>
    <s v="Michael Bonilla"/>
    <n v="2"/>
    <s v="Female"/>
    <x v="2"/>
    <s v="Dr. Kelvin Ndukwe"/>
    <x v="7"/>
    <d v="2025-04-10T00:00:00"/>
    <d v="2025-04-23T00:00:00"/>
    <n v="350352"/>
    <x v="5"/>
    <n v="2"/>
    <n v="4"/>
    <n v="0"/>
    <x v="10"/>
    <x v="1"/>
    <x v="1"/>
    <s v="OK"/>
    <n v="350352"/>
  </r>
  <r>
    <s v="EKO1428"/>
    <s v="Steven Saunders"/>
    <n v="86"/>
    <s v="Male"/>
    <x v="0"/>
    <s v="Dr. Grace Eze"/>
    <x v="9"/>
    <d v="2025-05-25T00:00:00"/>
    <d v="2025-05-30T00:00:00"/>
    <n v="82571"/>
    <x v="2"/>
    <n v="2"/>
    <n v="4"/>
    <n v="0"/>
    <x v="9"/>
    <x v="2"/>
    <x v="0"/>
    <s v="OK"/>
    <n v="82571"/>
  </r>
  <r>
    <s v="EKO1429"/>
    <s v="Antonio Martinez"/>
    <n v="88"/>
    <s v="Female"/>
    <x v="4"/>
    <s v="Dr. Tunde Cole"/>
    <x v="4"/>
    <d v="2025-04-09T00:00:00"/>
    <d v="2025-04-13T00:00:00"/>
    <n v="262555"/>
    <x v="4"/>
    <n v="8"/>
    <n v="4"/>
    <n v="253923"/>
    <x v="13"/>
    <x v="2"/>
    <x v="1"/>
    <s v="OK"/>
    <n v="516478"/>
  </r>
  <r>
    <s v="EKO1430"/>
    <s v="James Bennett"/>
    <n v="79"/>
    <s v="Male"/>
    <x v="0"/>
    <s v="Dr. Grace Eze"/>
    <x v="0"/>
    <d v="2025-05-20T00:00:00"/>
    <d v="2025-05-26T00:00:00"/>
    <n v="242698"/>
    <x v="0"/>
    <n v="8"/>
    <n v="4"/>
    <n v="0"/>
    <x v="3"/>
    <x v="2"/>
    <x v="1"/>
    <s v="OK"/>
    <n v="242698"/>
  </r>
  <r>
    <s v="EKO1431"/>
    <s v="Anthony Williams"/>
    <n v="59"/>
    <s v="Female"/>
    <x v="6"/>
    <s v="Dr. Funke Adebayo"/>
    <x v="14"/>
    <d v="2025-05-02T00:00:00"/>
    <d v="2025-05-11T00:00:00"/>
    <n v="130313"/>
    <x v="0"/>
    <n v="6"/>
    <n v="4"/>
    <n v="0"/>
    <x v="12"/>
    <x v="0"/>
    <x v="2"/>
    <s v="OK"/>
    <n v="130313"/>
  </r>
  <r>
    <s v="EKO1432"/>
    <s v="Bradley Ramirez"/>
    <n v="69"/>
    <s v="Male"/>
    <x v="0"/>
    <s v="Dr. Grace Eze"/>
    <x v="0"/>
    <d v="2025-04-21T00:00:00"/>
    <d v="2025-05-01T00:00:00"/>
    <n v="296849"/>
    <x v="4"/>
    <n v="8"/>
    <n v="4"/>
    <n v="0"/>
    <x v="6"/>
    <x v="2"/>
    <x v="1"/>
    <s v="OK"/>
    <n v="296849"/>
  </r>
  <r>
    <s v="EKO1433"/>
    <s v="Nancy Barnes"/>
    <n v="11"/>
    <s v="Female"/>
    <x v="0"/>
    <s v="Dr. Grace Eze"/>
    <x v="9"/>
    <d v="2025-05-17T00:00:00"/>
    <d v="2025-05-31T00:00:00"/>
    <n v="362378"/>
    <x v="3"/>
    <n v="13"/>
    <n v="2"/>
    <n v="0"/>
    <x v="5"/>
    <x v="1"/>
    <x v="1"/>
    <s v="OK"/>
    <n v="362378"/>
  </r>
  <r>
    <s v="EKO1434"/>
    <s v="Jonathan Doyle"/>
    <n v="8"/>
    <s v="Male"/>
    <x v="1"/>
    <s v="Dr. Musa Bello"/>
    <x v="1"/>
    <d v="2025-04-01T00:00:00"/>
    <d v="2025-04-12T00:00:00"/>
    <n v="108829"/>
    <x v="6"/>
    <n v="12"/>
    <n v="2"/>
    <n v="0"/>
    <x v="2"/>
    <x v="1"/>
    <x v="2"/>
    <s v="OK"/>
    <n v="108829"/>
  </r>
  <r>
    <s v="EKO1435"/>
    <s v="Barbara Skinner"/>
    <n v="42"/>
    <s v="Female"/>
    <x v="2"/>
    <s v="Dr. Kelvin Ndukwe"/>
    <x v="2"/>
    <d v="2025-04-29T00:00:00"/>
    <d v="2025-05-03T00:00:00"/>
    <n v="136264"/>
    <x v="2"/>
    <n v="11"/>
    <n v="2"/>
    <n v="0"/>
    <x v="13"/>
    <x v="0"/>
    <x v="2"/>
    <s v="OK"/>
    <n v="136264"/>
  </r>
  <r>
    <s v="EKO1436"/>
    <s v="David Howard"/>
    <n v="75"/>
    <s v="Female"/>
    <x v="0"/>
    <s v="Dr. Grace Eze"/>
    <x v="0"/>
    <d v="2025-05-21T00:00:00"/>
    <d v="2025-05-26T00:00:00"/>
    <n v="425871"/>
    <x v="7"/>
    <n v="13"/>
    <n v="4"/>
    <n v="0"/>
    <x v="9"/>
    <x v="2"/>
    <x v="1"/>
    <s v="OK"/>
    <n v="425871"/>
  </r>
  <r>
    <s v="EKO1437"/>
    <s v="Regina Johnson"/>
    <n v="8"/>
    <s v="Female"/>
    <x v="2"/>
    <s v="Dr. Kelvin Ndukwe"/>
    <x v="2"/>
    <d v="2025-05-16T00:00:00"/>
    <d v="2025-05-25T00:00:00"/>
    <n v="473987"/>
    <x v="5"/>
    <n v="8"/>
    <n v="1"/>
    <n v="0"/>
    <x v="12"/>
    <x v="1"/>
    <x v="1"/>
    <s v="OK"/>
    <n v="473987"/>
  </r>
  <r>
    <s v="EKO1438"/>
    <s v="Andrew Fitzgerald"/>
    <n v="73"/>
    <s v="Male"/>
    <x v="2"/>
    <s v="Dr. Kelvin Ndukwe"/>
    <x v="7"/>
    <d v="2025-04-25T00:00:00"/>
    <d v="2025-05-03T00:00:00"/>
    <n v="289493"/>
    <x v="1"/>
    <n v="7"/>
    <n v="3"/>
    <n v="0"/>
    <x v="4"/>
    <x v="2"/>
    <x v="1"/>
    <s v="OK"/>
    <n v="289493"/>
  </r>
  <r>
    <s v="EKO1439"/>
    <s v="Janet Edwards"/>
    <n v="3"/>
    <s v="Female"/>
    <x v="0"/>
    <s v="Dr. Grace Eze"/>
    <x v="9"/>
    <d v="2025-04-04T00:00:00"/>
    <d v="2025-04-18T00:00:00"/>
    <n v="211569"/>
    <x v="8"/>
    <n v="5"/>
    <n v="1"/>
    <n v="0"/>
    <x v="5"/>
    <x v="1"/>
    <x v="1"/>
    <s v="OK"/>
    <n v="211569"/>
  </r>
  <r>
    <s v="EKO1440"/>
    <s v="Nicholas Peterson"/>
    <n v="28"/>
    <s v="Male"/>
    <x v="5"/>
    <s v="Dr. Samuel Okoro"/>
    <x v="8"/>
    <d v="2025-04-21T00:00:00"/>
    <d v="2025-04-23T00:00:00"/>
    <n v="441016"/>
    <x v="1"/>
    <n v="6"/>
    <n v="4"/>
    <n v="0"/>
    <x v="1"/>
    <x v="0"/>
    <x v="1"/>
    <s v="OK"/>
    <n v="441016"/>
  </r>
  <r>
    <s v="EKO1441"/>
    <s v="Albert Mitchell"/>
    <n v="9"/>
    <s v="Male"/>
    <x v="3"/>
    <s v="Dr. Aisha Lawal"/>
    <x v="12"/>
    <d v="2025-04-10T00:00:00"/>
    <d v="2025-04-17T00:00:00"/>
    <n v="417203"/>
    <x v="5"/>
    <n v="11"/>
    <n v="3"/>
    <n v="0"/>
    <x v="11"/>
    <x v="1"/>
    <x v="1"/>
    <s v="OK"/>
    <n v="417203"/>
  </r>
  <r>
    <s v="EKO1442"/>
    <s v="Nathaniel Perez"/>
    <n v="53"/>
    <s v="Male"/>
    <x v="3"/>
    <s v="Dr. Aisha Lawal"/>
    <x v="12"/>
    <d v="2025-04-03T00:00:00"/>
    <d v="2025-04-05T00:00:00"/>
    <n v="200518"/>
    <x v="5"/>
    <n v="1"/>
    <n v="3"/>
    <n v="0"/>
    <x v="1"/>
    <x v="0"/>
    <x v="1"/>
    <s v="OK"/>
    <n v="200518"/>
  </r>
  <r>
    <s v="EKO1443"/>
    <s v="Frank Schmitt"/>
    <n v="83"/>
    <s v="Female"/>
    <x v="5"/>
    <s v="Dr. Samuel Okoro"/>
    <x v="10"/>
    <d v="2025-05-11T00:00:00"/>
    <d v="2025-05-23T00:00:00"/>
    <n v="432357"/>
    <x v="7"/>
    <n v="3"/>
    <n v="1"/>
    <n v="0"/>
    <x v="8"/>
    <x v="2"/>
    <x v="1"/>
    <s v="OK"/>
    <n v="432357"/>
  </r>
  <r>
    <s v="EKO1444"/>
    <s v="Ian Fisher"/>
    <n v="49"/>
    <s v="Male"/>
    <x v="3"/>
    <s v="Dr. Aisha Lawal"/>
    <x v="12"/>
    <d v="2025-05-20T00:00:00"/>
    <d v="2025-05-29T00:00:00"/>
    <n v="247916"/>
    <x v="2"/>
    <n v="2"/>
    <n v="2"/>
    <n v="0"/>
    <x v="12"/>
    <x v="0"/>
    <x v="1"/>
    <s v="OK"/>
    <n v="247916"/>
  </r>
  <r>
    <s v="EKO1445"/>
    <s v="William Bennett"/>
    <n v="16"/>
    <s v="Male"/>
    <x v="0"/>
    <s v="Dr. Grace Eze"/>
    <x v="9"/>
    <d v="2025-04-18T00:00:00"/>
    <d v="2025-05-03T00:00:00"/>
    <n v="232331"/>
    <x v="4"/>
    <n v="5"/>
    <n v="1"/>
    <n v="0"/>
    <x v="7"/>
    <x v="3"/>
    <x v="1"/>
    <s v="OK"/>
    <n v="232331"/>
  </r>
  <r>
    <s v="EKO1446"/>
    <s v="Judith Arellano"/>
    <n v="29"/>
    <s v="Male"/>
    <x v="2"/>
    <s v="Dr. Kelvin Ndukwe"/>
    <x v="2"/>
    <d v="2025-04-18T00:00:00"/>
    <d v="2025-04-22T00:00:00"/>
    <n v="431607"/>
    <x v="0"/>
    <n v="17"/>
    <n v="1"/>
    <n v="0"/>
    <x v="13"/>
    <x v="0"/>
    <x v="1"/>
    <s v="OK"/>
    <n v="431607"/>
  </r>
  <r>
    <s v="EKO1447"/>
    <s v="Melissa Booth"/>
    <n v="70"/>
    <s v="Female"/>
    <x v="4"/>
    <s v="Dr. Tunde Cole"/>
    <x v="5"/>
    <d v="2025-03-31T00:00:00"/>
    <d v="2025-04-09T00:00:00"/>
    <n v="403107"/>
    <x v="3"/>
    <n v="7"/>
    <n v="1"/>
    <n v="154326"/>
    <x v="12"/>
    <x v="2"/>
    <x v="1"/>
    <s v="OK"/>
    <n v="557433"/>
  </r>
  <r>
    <s v="EKO1448"/>
    <s v="Stephanie Washington"/>
    <n v="59"/>
    <s v="Female"/>
    <x v="5"/>
    <s v="Dr. Samuel Okoro"/>
    <x v="8"/>
    <d v="2025-05-03T00:00:00"/>
    <d v="2025-05-08T00:00:00"/>
    <n v="179767"/>
    <x v="8"/>
    <n v="11"/>
    <n v="1"/>
    <n v="0"/>
    <x v="9"/>
    <x v="0"/>
    <x v="1"/>
    <s v="OK"/>
    <n v="179767"/>
  </r>
  <r>
    <s v="EKO1449"/>
    <s v="Veronica Villarreal"/>
    <n v="15"/>
    <s v="Male"/>
    <x v="4"/>
    <s v="Dr. Tunde Cole"/>
    <x v="5"/>
    <d v="2025-05-23T00:00:00"/>
    <d v="2025-05-28T00:00:00"/>
    <n v="430121"/>
    <x v="6"/>
    <n v="16"/>
    <n v="4"/>
    <n v="297697"/>
    <x v="9"/>
    <x v="3"/>
    <x v="1"/>
    <s v="OK"/>
    <n v="727818"/>
  </r>
  <r>
    <s v="EKO1450"/>
    <s v="Brandy Padilla MD"/>
    <n v="31"/>
    <s v="Male"/>
    <x v="2"/>
    <s v="Dr. Kelvin Ndukwe"/>
    <x v="2"/>
    <d v="2025-05-06T00:00:00"/>
    <d v="2025-05-20T00:00:00"/>
    <n v="58202"/>
    <x v="7"/>
    <n v="18"/>
    <n v="3"/>
    <n v="0"/>
    <x v="5"/>
    <x v="0"/>
    <x v="0"/>
    <s v="OK"/>
    <n v="58202"/>
  </r>
  <r>
    <s v="EKO1451"/>
    <s v="Pamela Singh"/>
    <n v="58"/>
    <s v="Male"/>
    <x v="1"/>
    <s v="Dr. Musa Bello"/>
    <x v="13"/>
    <d v="2025-04-11T00:00:00"/>
    <d v="2025-04-22T00:00:00"/>
    <n v="67603"/>
    <x v="3"/>
    <n v="5"/>
    <n v="2"/>
    <n v="0"/>
    <x v="2"/>
    <x v="0"/>
    <x v="0"/>
    <s v="OK"/>
    <n v="67603"/>
  </r>
  <r>
    <s v="EKO1452"/>
    <s v="Shaun Johnson"/>
    <n v="57"/>
    <s v="Male"/>
    <x v="0"/>
    <s v="Dr. Grace Eze"/>
    <x v="0"/>
    <d v="2025-04-17T00:00:00"/>
    <d v="2025-04-19T00:00:00"/>
    <n v="260902"/>
    <x v="5"/>
    <n v="1"/>
    <n v="3"/>
    <n v="0"/>
    <x v="1"/>
    <x v="0"/>
    <x v="1"/>
    <s v="OK"/>
    <n v="260902"/>
  </r>
  <r>
    <s v="EKO1453"/>
    <s v="Willie Ross"/>
    <n v="8"/>
    <s v="Male"/>
    <x v="5"/>
    <s v="Dr. Samuel Okoro"/>
    <x v="10"/>
    <d v="2025-04-16T00:00:00"/>
    <d v="2025-05-01T00:00:00"/>
    <n v="456880"/>
    <x v="7"/>
    <n v="13"/>
    <n v="3"/>
    <n v="0"/>
    <x v="7"/>
    <x v="1"/>
    <x v="1"/>
    <s v="OK"/>
    <n v="456880"/>
  </r>
  <r>
    <s v="EKO1456"/>
    <s v="Erin Riley"/>
    <n v="72"/>
    <s v="Male"/>
    <x v="4"/>
    <s v="Dr. Tunde Cole"/>
    <x v="5"/>
    <d v="2025-04-09T00:00:00"/>
    <d v="2025-04-15T00:00:00"/>
    <n v="81959"/>
    <x v="3"/>
    <n v="12"/>
    <n v="3"/>
    <n v="110999"/>
    <x v="3"/>
    <x v="2"/>
    <x v="0"/>
    <s v="OK"/>
    <n v="192958"/>
  </r>
  <r>
    <s v="EKO1457"/>
    <s v="Helen Clark"/>
    <n v="45"/>
    <s v="Female"/>
    <x v="2"/>
    <s v="Dr. Kelvin Ndukwe"/>
    <x v="7"/>
    <d v="2025-05-22T00:00:00"/>
    <d v="2025-05-31T00:00:00"/>
    <n v="74580"/>
    <x v="7"/>
    <n v="8"/>
    <n v="4"/>
    <n v="0"/>
    <x v="12"/>
    <x v="0"/>
    <x v="0"/>
    <s v="OK"/>
    <n v="74580"/>
  </r>
  <r>
    <s v="EKO1458"/>
    <s v="Heidi Dixon"/>
    <n v="20"/>
    <s v="Female"/>
    <x v="0"/>
    <s v="Dr. Grace Eze"/>
    <x v="9"/>
    <d v="2025-04-27T00:00:00"/>
    <d v="2025-05-05T00:00:00"/>
    <n v="264045"/>
    <x v="1"/>
    <n v="3"/>
    <n v="1"/>
    <n v="0"/>
    <x v="4"/>
    <x v="0"/>
    <x v="1"/>
    <s v="OK"/>
    <n v="264045"/>
  </r>
  <r>
    <s v="EKO1459"/>
    <s v="Michelle Wheeler"/>
    <n v="61"/>
    <s v="Male"/>
    <x v="6"/>
    <s v="Dr. Funke Adebayo"/>
    <x v="11"/>
    <d v="2025-05-04T00:00:00"/>
    <d v="2025-05-18T00:00:00"/>
    <n v="332029"/>
    <x v="2"/>
    <n v="18"/>
    <n v="4"/>
    <n v="0"/>
    <x v="5"/>
    <x v="2"/>
    <x v="1"/>
    <s v="OK"/>
    <n v="332029"/>
  </r>
  <r>
    <s v="EKO1460"/>
    <s v="Paul Trujillo"/>
    <n v="19"/>
    <s v="Female"/>
    <x v="4"/>
    <s v="Dr. Tunde Cole"/>
    <x v="4"/>
    <d v="2025-04-27T00:00:00"/>
    <d v="2025-05-12T00:00:00"/>
    <n v="420974"/>
    <x v="8"/>
    <n v="19"/>
    <n v="3"/>
    <n v="152301"/>
    <x v="7"/>
    <x v="3"/>
    <x v="1"/>
    <s v="OK"/>
    <n v="573275"/>
  </r>
  <r>
    <s v="EKO1461"/>
    <s v="Jennifer Valencia"/>
    <n v="72"/>
    <s v="Male"/>
    <x v="2"/>
    <s v="Dr. Kelvin Ndukwe"/>
    <x v="7"/>
    <d v="2025-04-26T00:00:00"/>
    <d v="2025-05-04T00:00:00"/>
    <n v="268370"/>
    <x v="7"/>
    <n v="9"/>
    <n v="2"/>
    <n v="0"/>
    <x v="4"/>
    <x v="2"/>
    <x v="1"/>
    <s v="OK"/>
    <n v="268370"/>
  </r>
  <r>
    <s v="EKO1463"/>
    <s v="Juan Moore"/>
    <n v="69"/>
    <s v="Male"/>
    <x v="5"/>
    <s v="Dr. Samuel Okoro"/>
    <x v="8"/>
    <d v="2025-04-21T00:00:00"/>
    <d v="2025-04-28T00:00:00"/>
    <n v="98477"/>
    <x v="5"/>
    <n v="2"/>
    <n v="3"/>
    <n v="0"/>
    <x v="11"/>
    <x v="2"/>
    <x v="0"/>
    <s v="OK"/>
    <n v="98477"/>
  </r>
  <r>
    <s v="EKO1464"/>
    <s v="Catherine Mendoza"/>
    <n v="78"/>
    <s v="Male"/>
    <x v="4"/>
    <s v="Dr. Tunde Cole"/>
    <x v="4"/>
    <d v="2025-05-21T00:00:00"/>
    <d v="2025-05-29T00:00:00"/>
    <n v="403198"/>
    <x v="1"/>
    <n v="9"/>
    <n v="3"/>
    <n v="272362"/>
    <x v="4"/>
    <x v="2"/>
    <x v="1"/>
    <s v="OK"/>
    <n v="675560"/>
  </r>
  <r>
    <s v="EKO1466"/>
    <s v="John Reed"/>
    <n v="39"/>
    <s v="Male"/>
    <x v="6"/>
    <s v="Dr. Funke Adebayo"/>
    <x v="11"/>
    <d v="2025-04-08T00:00:00"/>
    <d v="2025-04-23T00:00:00"/>
    <n v="224569"/>
    <x v="5"/>
    <n v="4"/>
    <n v="3"/>
    <n v="0"/>
    <x v="7"/>
    <x v="0"/>
    <x v="1"/>
    <s v="OK"/>
    <n v="224569"/>
  </r>
  <r>
    <s v="EKO1467"/>
    <s v="David Newton"/>
    <n v="62"/>
    <s v="Male"/>
    <x v="6"/>
    <s v="Dr. Funke Adebayo"/>
    <x v="11"/>
    <d v="2025-04-12T00:00:00"/>
    <d v="2025-04-25T00:00:00"/>
    <n v="111507"/>
    <x v="0"/>
    <n v="8"/>
    <n v="3"/>
    <n v="0"/>
    <x v="10"/>
    <x v="2"/>
    <x v="2"/>
    <s v="OK"/>
    <n v="111507"/>
  </r>
  <r>
    <s v="EKO1468"/>
    <s v="James Walker"/>
    <n v="42"/>
    <s v="Female"/>
    <x v="3"/>
    <s v="Dr. Aisha Lawal"/>
    <x v="3"/>
    <d v="2025-04-07T00:00:00"/>
    <d v="2025-04-12T00:00:00"/>
    <n v="339448"/>
    <x v="8"/>
    <n v="1"/>
    <n v="3"/>
    <n v="0"/>
    <x v="9"/>
    <x v="0"/>
    <x v="1"/>
    <s v="OK"/>
    <n v="339448"/>
  </r>
  <r>
    <s v="EKO1469"/>
    <s v="Jennifer Reyes"/>
    <n v="46"/>
    <s v="Female"/>
    <x v="3"/>
    <s v="Dr. Aisha Lawal"/>
    <x v="3"/>
    <d v="2025-04-24T00:00:00"/>
    <d v="2025-05-04T00:00:00"/>
    <n v="390116"/>
    <x v="0"/>
    <n v="3"/>
    <n v="3"/>
    <n v="0"/>
    <x v="6"/>
    <x v="0"/>
    <x v="1"/>
    <s v="OK"/>
    <n v="390116"/>
  </r>
  <r>
    <s v="EKO1470"/>
    <s v="Joseph Harris"/>
    <n v="60"/>
    <s v="Male"/>
    <x v="4"/>
    <s v="Dr. Tunde Cole"/>
    <x v="5"/>
    <d v="2025-05-24T00:00:00"/>
    <d v="2025-06-03T00:00:00"/>
    <n v="310716"/>
    <x v="5"/>
    <n v="4"/>
    <n v="3"/>
    <n v="208446"/>
    <x v="6"/>
    <x v="2"/>
    <x v="1"/>
    <s v="OK"/>
    <n v="519162"/>
  </r>
  <r>
    <s v="EKO1471"/>
    <s v="Rachael Sweeney"/>
    <n v="27"/>
    <s v="Female"/>
    <x v="5"/>
    <s v="Dr. Samuel Okoro"/>
    <x v="10"/>
    <d v="2025-04-23T00:00:00"/>
    <d v="2025-05-08T00:00:00"/>
    <n v="217894"/>
    <x v="7"/>
    <n v="1"/>
    <n v="1"/>
    <n v="0"/>
    <x v="7"/>
    <x v="0"/>
    <x v="1"/>
    <s v="OK"/>
    <n v="217894"/>
  </r>
  <r>
    <s v="EKO1472"/>
    <s v="Michele Wells"/>
    <n v="29"/>
    <s v="Male"/>
    <x v="3"/>
    <s v="Dr. Aisha Lawal"/>
    <x v="12"/>
    <d v="2025-04-24T00:00:00"/>
    <d v="2025-04-26T00:00:00"/>
    <n v="344924"/>
    <x v="2"/>
    <n v="9"/>
    <n v="3"/>
    <n v="0"/>
    <x v="1"/>
    <x v="0"/>
    <x v="1"/>
    <s v="OK"/>
    <n v="344924"/>
  </r>
  <r>
    <s v="EKO1473"/>
    <s v="Douglas Peterson"/>
    <n v="75"/>
    <s v="Female"/>
    <x v="4"/>
    <s v="Dr. Tunde Cole"/>
    <x v="5"/>
    <d v="2025-04-12T00:00:00"/>
    <d v="2025-04-22T00:00:00"/>
    <n v="356200"/>
    <x v="2"/>
    <n v="13"/>
    <n v="3"/>
    <n v="222741"/>
    <x v="6"/>
    <x v="2"/>
    <x v="1"/>
    <s v="OK"/>
    <n v="578941"/>
  </r>
  <r>
    <s v="EKO1474"/>
    <s v="Sophia Terry"/>
    <n v="30"/>
    <s v="Female"/>
    <x v="6"/>
    <s v="Dr. Funke Adebayo"/>
    <x v="11"/>
    <d v="2025-04-15T00:00:00"/>
    <d v="2025-04-20T00:00:00"/>
    <n v="222944"/>
    <x v="7"/>
    <n v="19"/>
    <n v="4"/>
    <n v="0"/>
    <x v="9"/>
    <x v="0"/>
    <x v="1"/>
    <s v="OK"/>
    <n v="222944"/>
  </r>
  <r>
    <s v="EKO1475"/>
    <s v="Katherine Small"/>
    <n v="88"/>
    <s v="Female"/>
    <x v="3"/>
    <s v="Dr. Aisha Lawal"/>
    <x v="3"/>
    <d v="2025-04-17T00:00:00"/>
    <d v="2025-04-27T00:00:00"/>
    <n v="393203"/>
    <x v="1"/>
    <n v="18"/>
    <n v="3"/>
    <n v="0"/>
    <x v="6"/>
    <x v="2"/>
    <x v="1"/>
    <s v="OK"/>
    <n v="393203"/>
  </r>
  <r>
    <s v="EKO1476"/>
    <s v="Donna Munoz"/>
    <n v="83"/>
    <s v="Female"/>
    <x v="5"/>
    <s v="Dr. Samuel Okoro"/>
    <x v="10"/>
    <d v="2025-05-13T00:00:00"/>
    <d v="2025-05-28T00:00:00"/>
    <n v="306178"/>
    <x v="5"/>
    <n v="18"/>
    <n v="4"/>
    <n v="0"/>
    <x v="7"/>
    <x v="2"/>
    <x v="1"/>
    <s v="OK"/>
    <n v="306178"/>
  </r>
  <r>
    <s v="EKO1477"/>
    <s v="Mrs. Deborah Hernandez"/>
    <n v="46"/>
    <s v="Male"/>
    <x v="6"/>
    <s v="Dr. Funke Adebayo"/>
    <x v="11"/>
    <d v="2025-05-04T00:00:00"/>
    <d v="2025-05-17T00:00:00"/>
    <n v="466796"/>
    <x v="4"/>
    <n v="12"/>
    <n v="4"/>
    <n v="0"/>
    <x v="10"/>
    <x v="0"/>
    <x v="1"/>
    <s v="OK"/>
    <n v="466796"/>
  </r>
  <r>
    <s v="EKO1478"/>
    <s v="Heidi Wood"/>
    <n v="24"/>
    <s v="Male"/>
    <x v="0"/>
    <s v="Dr. Grace Eze"/>
    <x v="0"/>
    <d v="2025-04-15T00:00:00"/>
    <d v="2025-04-25T00:00:00"/>
    <n v="306018"/>
    <x v="7"/>
    <n v="7"/>
    <n v="4"/>
    <n v="0"/>
    <x v="6"/>
    <x v="0"/>
    <x v="1"/>
    <s v="OK"/>
    <n v="306018"/>
  </r>
  <r>
    <s v="EKO1479"/>
    <s v="Andrea Dean"/>
    <n v="86"/>
    <s v="Male"/>
    <x v="5"/>
    <s v="Dr. Samuel Okoro"/>
    <x v="8"/>
    <d v="2025-03-30T00:00:00"/>
    <d v="2025-04-14T00:00:00"/>
    <n v="88970"/>
    <x v="1"/>
    <n v="13"/>
    <n v="2"/>
    <n v="0"/>
    <x v="7"/>
    <x v="2"/>
    <x v="0"/>
    <s v="OK"/>
    <n v="88970"/>
  </r>
  <r>
    <s v="EKO1480"/>
    <s v="Derrick White"/>
    <n v="81"/>
    <s v="Male"/>
    <x v="3"/>
    <s v="Dr. Aisha Lawal"/>
    <x v="12"/>
    <d v="2025-05-25T00:00:00"/>
    <d v="2025-05-29T00:00:00"/>
    <n v="491736"/>
    <x v="3"/>
    <n v="8"/>
    <n v="4"/>
    <n v="0"/>
    <x v="13"/>
    <x v="2"/>
    <x v="1"/>
    <s v="OK"/>
    <n v="491736"/>
  </r>
  <r>
    <s v="EKO1481"/>
    <s v="Jill Martinez"/>
    <n v="28"/>
    <s v="Female"/>
    <x v="0"/>
    <s v="Dr. Grace Eze"/>
    <x v="9"/>
    <d v="2025-05-24T00:00:00"/>
    <d v="2025-05-28T00:00:00"/>
    <n v="54792"/>
    <x v="5"/>
    <n v="10"/>
    <n v="3"/>
    <n v="0"/>
    <x v="13"/>
    <x v="0"/>
    <x v="0"/>
    <s v="OK"/>
    <n v="54792"/>
  </r>
  <r>
    <s v="EKO1482"/>
    <s v="Sharon Ayala"/>
    <n v="86"/>
    <s v="Female"/>
    <x v="1"/>
    <s v="Dr. Musa Bello"/>
    <x v="1"/>
    <d v="2025-04-23T00:00:00"/>
    <d v="2025-05-04T00:00:00"/>
    <n v="384353"/>
    <x v="0"/>
    <n v="12"/>
    <n v="2"/>
    <n v="0"/>
    <x v="2"/>
    <x v="2"/>
    <x v="1"/>
    <s v="OK"/>
    <n v="384353"/>
  </r>
  <r>
    <s v="EKO1483"/>
    <s v="Erika Alvarado"/>
    <n v="69"/>
    <s v="Female"/>
    <x v="3"/>
    <s v="Dr. Aisha Lawal"/>
    <x v="12"/>
    <d v="2025-05-13T00:00:00"/>
    <d v="2025-05-15T00:00:00"/>
    <n v="53466"/>
    <x v="0"/>
    <n v="5"/>
    <n v="4"/>
    <n v="0"/>
    <x v="1"/>
    <x v="2"/>
    <x v="0"/>
    <s v="OK"/>
    <n v="53466"/>
  </r>
  <r>
    <s v="EKO1484"/>
    <s v="Tiffany Mitchell"/>
    <n v="36"/>
    <s v="Female"/>
    <x v="1"/>
    <s v="Dr. Musa Bello"/>
    <x v="13"/>
    <d v="2025-04-22T00:00:00"/>
    <d v="2025-05-02T00:00:00"/>
    <n v="428636"/>
    <x v="1"/>
    <n v="1"/>
    <n v="2"/>
    <n v="0"/>
    <x v="6"/>
    <x v="0"/>
    <x v="1"/>
    <s v="OK"/>
    <n v="428636"/>
  </r>
  <r>
    <s v="EKO1485"/>
    <s v="Michael Harvey"/>
    <n v="87"/>
    <s v="Female"/>
    <x v="2"/>
    <s v="Dr. Kelvin Ndukwe"/>
    <x v="2"/>
    <d v="2025-05-13T00:00:00"/>
    <d v="2025-05-28T00:00:00"/>
    <n v="415879"/>
    <x v="0"/>
    <n v="5"/>
    <n v="2"/>
    <n v="0"/>
    <x v="7"/>
    <x v="2"/>
    <x v="1"/>
    <s v="OK"/>
    <n v="415879"/>
  </r>
  <r>
    <s v="EKO1486"/>
    <s v="Richard Norton"/>
    <n v="20"/>
    <s v="Male"/>
    <x v="1"/>
    <s v="Dr. Musa Bello"/>
    <x v="13"/>
    <d v="2025-04-23T00:00:00"/>
    <d v="2025-04-26T00:00:00"/>
    <n v="324928"/>
    <x v="6"/>
    <n v="5"/>
    <n v="2"/>
    <n v="0"/>
    <x v="0"/>
    <x v="0"/>
    <x v="1"/>
    <s v="OK"/>
    <n v="324928"/>
  </r>
  <r>
    <s v="EKO1487"/>
    <s v="Judy Hall"/>
    <n v="46"/>
    <s v="Female"/>
    <x v="2"/>
    <s v="Dr. Kelvin Ndukwe"/>
    <x v="7"/>
    <d v="2025-05-06T00:00:00"/>
    <d v="2025-05-16T00:00:00"/>
    <n v="182339"/>
    <x v="2"/>
    <n v="15"/>
    <n v="3"/>
    <n v="0"/>
    <x v="6"/>
    <x v="0"/>
    <x v="1"/>
    <s v="OK"/>
    <n v="182339"/>
  </r>
  <r>
    <s v="EKO1488"/>
    <s v="Dr. Jacob Abbott MD"/>
    <n v="59"/>
    <s v="Male"/>
    <x v="1"/>
    <s v="Dr. Musa Bello"/>
    <x v="1"/>
    <d v="2025-05-04T00:00:00"/>
    <d v="2025-05-11T00:00:00"/>
    <n v="262875"/>
    <x v="0"/>
    <n v="5"/>
    <n v="3"/>
    <n v="0"/>
    <x v="11"/>
    <x v="0"/>
    <x v="1"/>
    <s v="OK"/>
    <n v="262875"/>
  </r>
  <r>
    <s v="EKO1489"/>
    <s v="David Sims"/>
    <n v="11"/>
    <s v="Male"/>
    <x v="6"/>
    <s v="Dr. Funke Adebayo"/>
    <x v="11"/>
    <d v="2025-04-05T00:00:00"/>
    <d v="2025-04-11T00:00:00"/>
    <n v="408634"/>
    <x v="1"/>
    <n v="7"/>
    <n v="4"/>
    <n v="0"/>
    <x v="3"/>
    <x v="1"/>
    <x v="1"/>
    <s v="OK"/>
    <n v="408634"/>
  </r>
  <r>
    <s v="EKO1490"/>
    <s v="Nicholas Burke"/>
    <n v="71"/>
    <s v="Female"/>
    <x v="3"/>
    <s v="Dr. Aisha Lawal"/>
    <x v="12"/>
    <d v="2025-05-18T00:00:00"/>
    <d v="2025-05-26T00:00:00"/>
    <n v="247745"/>
    <x v="5"/>
    <n v="10"/>
    <n v="4"/>
    <n v="0"/>
    <x v="4"/>
    <x v="2"/>
    <x v="1"/>
    <s v="OK"/>
    <n v="247745"/>
  </r>
  <r>
    <s v="EKO1491"/>
    <s v="Tracy Lang"/>
    <n v="22"/>
    <s v="Male"/>
    <x v="0"/>
    <s v="Dr. Grace Eze"/>
    <x v="9"/>
    <d v="2025-04-25T00:00:00"/>
    <d v="2025-04-27T00:00:00"/>
    <n v="418493"/>
    <x v="4"/>
    <n v="4"/>
    <n v="3"/>
    <n v="0"/>
    <x v="1"/>
    <x v="0"/>
    <x v="1"/>
    <s v="OK"/>
    <n v="418493"/>
  </r>
  <r>
    <s v="EKO1492"/>
    <s v="Mary Gordon DDS"/>
    <n v="43"/>
    <s v="Male"/>
    <x v="5"/>
    <s v="Dr. Samuel Okoro"/>
    <x v="8"/>
    <d v="2025-05-18T00:00:00"/>
    <d v="2025-05-26T00:00:00"/>
    <n v="388117"/>
    <x v="5"/>
    <n v="6"/>
    <n v="1"/>
    <n v="0"/>
    <x v="4"/>
    <x v="0"/>
    <x v="1"/>
    <s v="OK"/>
    <n v="388117"/>
  </r>
  <r>
    <s v="EKO1494"/>
    <s v="Anthony Weiss"/>
    <n v="36"/>
    <s v="Male"/>
    <x v="1"/>
    <s v="Dr. Musa Bello"/>
    <x v="13"/>
    <d v="2025-04-03T00:00:00"/>
    <d v="2025-04-06T00:00:00"/>
    <n v="408837"/>
    <x v="8"/>
    <n v="5"/>
    <n v="3"/>
    <n v="0"/>
    <x v="0"/>
    <x v="0"/>
    <x v="1"/>
    <s v="OK"/>
    <n v="408837"/>
  </r>
  <r>
    <s v="EKO1495"/>
    <s v="Craig Velez"/>
    <n v="27"/>
    <s v="Male"/>
    <x v="5"/>
    <s v="Dr. Samuel Okoro"/>
    <x v="10"/>
    <d v="2025-05-08T00:00:00"/>
    <d v="2025-05-15T00:00:00"/>
    <n v="58209"/>
    <x v="3"/>
    <n v="9"/>
    <n v="1"/>
    <n v="0"/>
    <x v="11"/>
    <x v="0"/>
    <x v="0"/>
    <s v="OK"/>
    <n v="58209"/>
  </r>
  <r>
    <s v="EKO1496"/>
    <s v="Annette Chang"/>
    <n v="73"/>
    <s v="Male"/>
    <x v="1"/>
    <s v="Dr. Musa Bello"/>
    <x v="1"/>
    <d v="2025-05-12T00:00:00"/>
    <d v="2025-05-18T00:00:00"/>
    <n v="135170"/>
    <x v="7"/>
    <n v="18"/>
    <n v="1"/>
    <n v="0"/>
    <x v="3"/>
    <x v="2"/>
    <x v="2"/>
    <s v="OK"/>
    <n v="135170"/>
  </r>
  <r>
    <s v="EKO1497"/>
    <s v="Roger Clark"/>
    <n v="87"/>
    <s v="Female"/>
    <x v="5"/>
    <s v="Dr. Samuel Okoro"/>
    <x v="10"/>
    <d v="2025-04-04T00:00:00"/>
    <d v="2025-04-19T00:00:00"/>
    <n v="254030"/>
    <x v="1"/>
    <n v="6"/>
    <n v="2"/>
    <n v="0"/>
    <x v="7"/>
    <x v="2"/>
    <x v="1"/>
    <s v="OK"/>
    <n v="254030"/>
  </r>
  <r>
    <s v="EKO1498"/>
    <s v="Erica Sandoval"/>
    <n v="89"/>
    <s v="Male"/>
    <x v="5"/>
    <s v="Dr. Samuel Okoro"/>
    <x v="10"/>
    <d v="2025-05-25T00:00:00"/>
    <d v="2025-06-07T00:00:00"/>
    <n v="123374"/>
    <x v="1"/>
    <n v="2"/>
    <n v="1"/>
    <n v="0"/>
    <x v="10"/>
    <x v="2"/>
    <x v="2"/>
    <s v="OK"/>
    <n v="123374"/>
  </r>
  <r>
    <s v="EKO1499"/>
    <s v="Rachel Mitchell"/>
    <n v="30"/>
    <s v="Male"/>
    <x v="1"/>
    <s v="Dr. Musa Bello"/>
    <x v="6"/>
    <d v="2025-05-19T00:00:00"/>
    <d v="2025-05-22T00:00:00"/>
    <n v="279160"/>
    <x v="7"/>
    <n v="15"/>
    <n v="2"/>
    <n v="0"/>
    <x v="0"/>
    <x v="0"/>
    <x v="1"/>
    <s v="OK"/>
    <n v="279160"/>
  </r>
  <r>
    <s v="EKO1500"/>
    <s v="Brenda Rodriguez"/>
    <n v="77"/>
    <s v="Female"/>
    <x v="2"/>
    <s v="Dr. Kelvin Ndukwe"/>
    <x v="7"/>
    <d v="2025-04-04T00:00:00"/>
    <d v="2025-04-18T00:00:00"/>
    <n v="371842"/>
    <x v="4"/>
    <n v="9"/>
    <n v="4"/>
    <n v="0"/>
    <x v="5"/>
    <x v="2"/>
    <x v="1"/>
    <s v="OK"/>
    <n v="3718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rowHeaderCaption="Diagnosis">
  <location ref="G3:H19" firstHeaderRow="1" firstDataRow="1" firstDataCol="1"/>
  <pivotFields count="19">
    <pivotField showAll="0"/>
    <pivotField showAll="0"/>
    <pivotField numFmtId="1" showAll="0"/>
    <pivotField showAll="0"/>
    <pivotField showAll="0"/>
    <pivotField showAll="0"/>
    <pivotField axis="axisRow" showAll="0">
      <items count="16">
        <item x="4"/>
        <item x="1"/>
        <item x="10"/>
        <item x="12"/>
        <item x="7"/>
        <item x="8"/>
        <item x="6"/>
        <item x="5"/>
        <item x="13"/>
        <item x="14"/>
        <item x="3"/>
        <item x="0"/>
        <item x="11"/>
        <item x="2"/>
        <item x="9"/>
        <item t="default"/>
      </items>
    </pivotField>
    <pivotField numFmtId="165" showAll="0"/>
    <pivotField numFmtId="165" showAll="0"/>
    <pivotField numFmtId="166"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numFmtId="166" showAll="0" defaultSubtotal="0"/>
  </pivotFields>
  <rowFields count="1">
    <field x="6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Length_of_Stay" fld="1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rowHeaderCaption="Length_of_Stay">
  <location ref="D21:E36" firstHeaderRow="1" firstDataRow="1" firstDataCol="1"/>
  <pivotFields count="19"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numFmtId="1" showAll="0"/>
    <pivotField showAll="0"/>
    <pivotField showAll="0"/>
    <pivotField numFmtId="1" showAll="0"/>
    <pivotField axis="axisRow" numFmtId="1" showAll="0" avgSubtotal="1">
      <items count="15">
        <item x="1"/>
        <item x="0"/>
        <item x="13"/>
        <item x="9"/>
        <item x="3"/>
        <item x="11"/>
        <item x="4"/>
        <item x="12"/>
        <item x="6"/>
        <item x="2"/>
        <item x="8"/>
        <item x="10"/>
        <item x="5"/>
        <item x="7"/>
        <item t="avg"/>
      </items>
    </pivotField>
    <pivotField showAll="0"/>
    <pivotField showAll="0"/>
    <pivotField showAll="0"/>
    <pivotField dataField="1" numFmtId="166" showAll="0" defaultSubtotal="0"/>
  </pivotFields>
  <rowFields count="1">
    <field x="14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Total_Cost" fld="18" subtotal="average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rowHeaderCaption="Age_Group">
  <location ref="A3:B8" firstHeaderRow="1" firstDataRow="1" firstDataCol="1"/>
  <pivotFields count="19"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numFmtId="1" showAll="0"/>
    <pivotField showAll="0"/>
    <pivotField showAll="0"/>
    <pivotField numFmtId="1" showAll="0"/>
    <pivotField dataField="1" numFmtId="1" showAll="0"/>
    <pivotField axis="axisRow" showAll="0">
      <items count="10">
        <item m="1" x="6"/>
        <item m="1" x="7"/>
        <item m="1" x="4"/>
        <item m="1" x="5"/>
        <item m="1" x="8"/>
        <item x="0"/>
        <item x="1"/>
        <item x="2"/>
        <item x="3"/>
        <item t="default"/>
      </items>
    </pivotField>
    <pivotField showAll="0"/>
    <pivotField showAll="0"/>
    <pivotField numFmtId="166" showAll="0" defaultSubtotal="0"/>
  </pivotFields>
  <rowFields count="1">
    <field x="15"/>
  </rowFields>
  <rowItems count="5"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Length_of_Stay" fld="1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rowHeaderCaption="Cost_category">
  <location ref="D14:E18" firstHeaderRow="1" firstDataRow="1" firstDataCol="1"/>
  <pivotFields count="19"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numFmtId="1" showAll="0"/>
    <pivotField showAll="0"/>
    <pivotField showAll="0"/>
    <pivotField numFmtId="1" showAll="0"/>
    <pivotField dataField="1" numFmtI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66" showAll="0" defaultSubtotal="0"/>
  </pivotFields>
  <rowFields count="1">
    <field x="1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Length_of_Stay" fld="1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rowHeaderCaption="Lab_Test conducted">
  <location ref="A14:B24" firstHeaderRow="1" firstDataRow="1" firstDataCol="1"/>
  <pivotFields count="19">
    <pivotField showAll="0"/>
    <pivotField showAll="0"/>
    <pivotField numFmtId="1" showAll="0"/>
    <pivotField showAll="0"/>
    <pivotField showAll="0"/>
    <pivotField showAll="0"/>
    <pivotField showAll="0"/>
    <pivotField numFmtId="165" showAll="0"/>
    <pivotField numFmtId="165" showAll="0"/>
    <pivotField numFmtId="166" showAll="0"/>
    <pivotField axis="axisRow" numFmtId="1" showAll="0">
      <items count="10">
        <item x="4"/>
        <item x="8"/>
        <item x="1"/>
        <item x="6"/>
        <item x="2"/>
        <item x="5"/>
        <item x="7"/>
        <item x="0"/>
        <item x="3"/>
        <item t="default"/>
      </items>
    </pivotField>
    <pivotField showAll="0"/>
    <pivotField showAll="0"/>
    <pivotField numFmtId="1" showAll="0"/>
    <pivotField dataField="1" numFmtId="1" showAll="0"/>
    <pivotField showAll="0"/>
    <pivotField showAll="0"/>
    <pivotField showAll="0"/>
    <pivotField numFmtId="166" showAll="0" defaultSubtota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Length_of_Stay" fld="1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 rowHeaderCaption="Department">
  <location ref="D3:E11" firstHeaderRow="1" firstDataRow="1" firstDataCol="1"/>
  <pivotFields count="19">
    <pivotField showAll="0"/>
    <pivotField showAll="0"/>
    <pivotField numFmtId="1" showAll="0"/>
    <pivotField showAll="0"/>
    <pivotField axis="axisRow" showAll="0">
      <items count="8">
        <item x="1"/>
        <item x="4"/>
        <item x="2"/>
        <item x="6"/>
        <item x="3"/>
        <item x="5"/>
        <item x="0"/>
        <item t="default"/>
      </items>
    </pivotField>
    <pivotField showAll="0"/>
    <pivotField showAll="0"/>
    <pivotField numFmtId="165" showAll="0"/>
    <pivotField numFmtId="165" showAll="0"/>
    <pivotField numFmtId="166" showAll="0"/>
    <pivotField numFmtId="1" showAll="0"/>
    <pivotField showAll="0"/>
    <pivotField showAll="0"/>
    <pivotField numFmtId="1" showAll="0"/>
    <pivotField dataField="1" numFmtId="1" showAll="0"/>
    <pivotField showAll="0"/>
    <pivotField showAll="0"/>
    <pivotField showAll="0"/>
    <pivotField numFmtId="166" showAll="0" defaultSubtota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Length_of_Stay" fld="14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S469" totalsRowShown="0">
  <autoFilter ref="A1:S469"/>
  <tableColumns count="19">
    <tableColumn id="1" name="Patient_ID" dataDxfId="18"/>
    <tableColumn id="2" name="Name" dataDxfId="17"/>
    <tableColumn id="3" name="Age" dataDxfId="16"/>
    <tableColumn id="4" name="Gender" dataDxfId="15"/>
    <tableColumn id="5" name="Department" dataDxfId="14"/>
    <tableColumn id="6" name="Doctor" dataDxfId="13"/>
    <tableColumn id="7" name="Diagnosis" dataDxfId="12"/>
    <tableColumn id="8" name="Admission_Date" dataDxfId="11"/>
    <tableColumn id="9" name="Discharge_Date" dataDxfId="10"/>
    <tableColumn id="10" name="Bill_Amount" dataDxfId="9"/>
    <tableColumn id="11" name="Lab_Tests_Conducted" dataDxfId="8"/>
    <tableColumn id="12" name="Medications_Administered" dataDxfId="7"/>
    <tableColumn id="13" name="Nurses_Assigned" dataDxfId="6"/>
    <tableColumn id="14" name="Surgery_Cost" dataDxfId="5"/>
    <tableColumn id="15" name="Length_of_Stay" dataDxfId="4"/>
    <tableColumn id="16" name="Age_Group" dataDxfId="3">
      <calculatedColumnFormula>IF(C2&lt;=12,"Children", IF(C2&lt;=19,"Teenagers", IF(C2&lt;60, "Adults","Older Adults")))</calculatedColumnFormula>
    </tableColumn>
    <tableColumn id="17" name="Cost_Category" dataDxfId="2">
      <calculatedColumnFormula>IF(J2&lt;100000,"Low", IF(J2&lt;150000,"Medium","High"))</calculatedColumnFormula>
    </tableColumn>
    <tableColumn id="19" name="Data_Quality_Flag" dataDxfId="1">
      <calculatedColumnFormula>IF(OR(AND(Table1[[#This Row],[Diagnosis]]="Labour Complication",Table1[[#This Row],[Gender]]="M"), AND(Table1[[#This Row],[Diagnosis]]="Labour Complication",Table1[[#This Row],[Age]]&lt;15)),"Error","OK")</calculatedColumnFormula>
    </tableColumn>
    <tableColumn id="18" name="Total_Cost" dataDxfId="0">
      <calculatedColumnFormula>Table1[[#This Row],[Bill_Amount]]+Table1[[#This Row],[Surgery_Cost]]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36"/>
  <sheetViews>
    <sheetView tabSelected="1" topLeftCell="E1" workbookViewId="0">
      <selection activeCell="I11" sqref="I11"/>
    </sheetView>
  </sheetViews>
  <sheetFormatPr defaultRowHeight="14.5" x14ac:dyDescent="0.35"/>
  <cols>
    <col min="1" max="1" width="20" customWidth="1"/>
    <col min="2" max="2" width="23.36328125" bestFit="1" customWidth="1"/>
    <col min="4" max="4" width="14.1796875" customWidth="1"/>
    <col min="5" max="5" width="23.36328125" customWidth="1"/>
    <col min="6" max="6" width="20.1796875" bestFit="1" customWidth="1"/>
    <col min="7" max="7" width="18.1796875" bestFit="1" customWidth="1"/>
    <col min="8" max="8" width="23.36328125" bestFit="1" customWidth="1"/>
  </cols>
  <sheetData>
    <row r="3" spans="1:8" x14ac:dyDescent="0.35">
      <c r="A3" s="5" t="s">
        <v>1048</v>
      </c>
      <c r="B3" t="s">
        <v>1047</v>
      </c>
      <c r="D3" s="5" t="s">
        <v>4</v>
      </c>
      <c r="E3" t="s">
        <v>1047</v>
      </c>
      <c r="G3" s="5" t="s">
        <v>6</v>
      </c>
      <c r="H3" t="s">
        <v>1047</v>
      </c>
    </row>
    <row r="4" spans="1:8" x14ac:dyDescent="0.35">
      <c r="A4" s="6" t="s">
        <v>1062</v>
      </c>
      <c r="B4" s="3">
        <v>8.3532338308457703</v>
      </c>
      <c r="D4" s="6" t="s">
        <v>1018</v>
      </c>
      <c r="E4" s="3">
        <v>8.5121951219512191</v>
      </c>
      <c r="G4" s="6" t="s">
        <v>1035</v>
      </c>
      <c r="H4" s="3">
        <v>8.5483870967741939</v>
      </c>
    </row>
    <row r="5" spans="1:8" x14ac:dyDescent="0.35">
      <c r="A5" s="6" t="s">
        <v>1063</v>
      </c>
      <c r="B5" s="3">
        <v>9.9473684210526319</v>
      </c>
      <c r="D5" s="6" t="s">
        <v>1021</v>
      </c>
      <c r="E5" s="3">
        <v>9.3181818181818183</v>
      </c>
      <c r="G5" s="6" t="s">
        <v>1032</v>
      </c>
      <c r="H5" s="3">
        <v>8.40625</v>
      </c>
    </row>
    <row r="6" spans="1:8" x14ac:dyDescent="0.35">
      <c r="A6" s="6" t="s">
        <v>1064</v>
      </c>
      <c r="B6" s="3">
        <v>9.0056818181818183</v>
      </c>
      <c r="D6" s="6" t="s">
        <v>1019</v>
      </c>
      <c r="E6" s="3">
        <v>9.65</v>
      </c>
      <c r="G6" s="6" t="s">
        <v>1041</v>
      </c>
      <c r="H6" s="3">
        <v>8.8857142857142861</v>
      </c>
    </row>
    <row r="7" spans="1:8" x14ac:dyDescent="0.35">
      <c r="A7" s="6" t="s">
        <v>1065</v>
      </c>
      <c r="B7" s="3">
        <v>9.2941176470588243</v>
      </c>
      <c r="D7" s="6" t="s">
        <v>1017</v>
      </c>
      <c r="E7" s="3">
        <v>8.9090909090909083</v>
      </c>
      <c r="G7" s="6" t="s">
        <v>1043</v>
      </c>
      <c r="H7" s="3">
        <v>8.1944444444444446</v>
      </c>
    </row>
    <row r="8" spans="1:8" x14ac:dyDescent="0.35">
      <c r="A8" s="6" t="s">
        <v>1046</v>
      </c>
      <c r="B8" s="3">
        <v>8.8611111111111107</v>
      </c>
      <c r="D8" s="6" t="s">
        <v>1020</v>
      </c>
      <c r="E8" s="3">
        <v>8.5128205128205128</v>
      </c>
      <c r="G8" s="6" t="s">
        <v>1038</v>
      </c>
      <c r="H8" s="3">
        <v>10.424242424242424</v>
      </c>
    </row>
    <row r="9" spans="1:8" x14ac:dyDescent="0.35">
      <c r="D9" s="6" t="s">
        <v>1022</v>
      </c>
      <c r="E9" s="3">
        <v>9.2463768115942031</v>
      </c>
      <c r="G9" s="6" t="s">
        <v>1039</v>
      </c>
      <c r="H9" s="3">
        <v>9.617647058823529</v>
      </c>
    </row>
    <row r="10" spans="1:8" x14ac:dyDescent="0.35">
      <c r="D10" s="6" t="s">
        <v>1016</v>
      </c>
      <c r="E10" s="3">
        <v>8.1304347826086953</v>
      </c>
      <c r="G10" s="6" t="s">
        <v>1037</v>
      </c>
      <c r="H10" s="3">
        <v>8.9600000000000009</v>
      </c>
    </row>
    <row r="11" spans="1:8" x14ac:dyDescent="0.35">
      <c r="D11" s="6" t="s">
        <v>1046</v>
      </c>
      <c r="E11" s="3">
        <v>8.8611111111111107</v>
      </c>
      <c r="G11" s="6" t="s">
        <v>1036</v>
      </c>
      <c r="H11" s="3">
        <v>10</v>
      </c>
    </row>
    <row r="12" spans="1:8" x14ac:dyDescent="0.35">
      <c r="G12" s="6" t="s">
        <v>1044</v>
      </c>
      <c r="H12" s="3">
        <v>8.1999999999999993</v>
      </c>
    </row>
    <row r="13" spans="1:8" x14ac:dyDescent="0.35">
      <c r="G13" s="6" t="s">
        <v>1031</v>
      </c>
      <c r="H13" s="3">
        <v>6.333333333333333</v>
      </c>
    </row>
    <row r="14" spans="1:8" x14ac:dyDescent="0.35">
      <c r="A14" s="5" t="s">
        <v>1060</v>
      </c>
      <c r="B14" t="s">
        <v>1047</v>
      </c>
      <c r="D14" s="5" t="s">
        <v>1055</v>
      </c>
      <c r="E14" t="s">
        <v>1047</v>
      </c>
      <c r="G14" s="6" t="s">
        <v>1034</v>
      </c>
      <c r="H14" s="3">
        <v>8.7857142857142865</v>
      </c>
    </row>
    <row r="15" spans="1:8" x14ac:dyDescent="0.35">
      <c r="A15" s="7">
        <v>1</v>
      </c>
      <c r="B15" s="3">
        <v>9.2051282051282044</v>
      </c>
      <c r="D15" s="6" t="s">
        <v>1052</v>
      </c>
      <c r="E15" s="3">
        <v>8.7715877437325904</v>
      </c>
      <c r="G15" s="6" t="s">
        <v>1030</v>
      </c>
      <c r="H15" s="3">
        <v>7.333333333333333</v>
      </c>
    </row>
    <row r="16" spans="1:8" x14ac:dyDescent="0.35">
      <c r="A16" s="7">
        <v>2</v>
      </c>
      <c r="B16" s="3">
        <v>9.1041666666666661</v>
      </c>
      <c r="D16" s="6" t="s">
        <v>1053</v>
      </c>
      <c r="E16" s="3">
        <v>9.1224489795918373</v>
      </c>
      <c r="G16" s="6" t="s">
        <v>1042</v>
      </c>
      <c r="H16" s="3">
        <v>9.3157894736842106</v>
      </c>
    </row>
    <row r="17" spans="1:8" x14ac:dyDescent="0.35">
      <c r="A17" s="7">
        <v>3</v>
      </c>
      <c r="B17" s="3">
        <v>9.0192307692307701</v>
      </c>
      <c r="D17" s="6" t="s">
        <v>1059</v>
      </c>
      <c r="E17" s="3">
        <v>9.1833333333333336</v>
      </c>
      <c r="G17" s="6" t="s">
        <v>1033</v>
      </c>
      <c r="H17" s="3">
        <v>8.7037037037037042</v>
      </c>
    </row>
    <row r="18" spans="1:8" x14ac:dyDescent="0.35">
      <c r="A18" s="7">
        <v>4</v>
      </c>
      <c r="B18" s="3">
        <v>8.7543859649122808</v>
      </c>
      <c r="D18" s="6" t="s">
        <v>1046</v>
      </c>
      <c r="E18" s="3">
        <v>8.8611111111111107</v>
      </c>
      <c r="G18" s="6" t="s">
        <v>1040</v>
      </c>
      <c r="H18" s="3">
        <v>8.8611111111111107</v>
      </c>
    </row>
    <row r="19" spans="1:8" x14ac:dyDescent="0.35">
      <c r="A19" s="7">
        <v>5</v>
      </c>
      <c r="B19" s="3">
        <v>8.1224489795918373</v>
      </c>
      <c r="G19" s="6" t="s">
        <v>1046</v>
      </c>
      <c r="H19" s="3">
        <v>8.8611111111111107</v>
      </c>
    </row>
    <row r="20" spans="1:8" x14ac:dyDescent="0.35">
      <c r="A20" s="7">
        <v>6</v>
      </c>
      <c r="B20" s="3">
        <v>9.3492063492063497</v>
      </c>
    </row>
    <row r="21" spans="1:8" x14ac:dyDescent="0.35">
      <c r="A21" s="7">
        <v>7</v>
      </c>
      <c r="B21" s="3">
        <v>9.2711864406779654</v>
      </c>
      <c r="D21" s="5" t="s">
        <v>1045</v>
      </c>
      <c r="E21" t="s">
        <v>1061</v>
      </c>
    </row>
    <row r="22" spans="1:8" x14ac:dyDescent="0.35">
      <c r="A22" s="7">
        <v>8</v>
      </c>
      <c r="B22" s="3">
        <v>8.5777777777777775</v>
      </c>
      <c r="D22" s="7">
        <v>2</v>
      </c>
      <c r="E22" s="32">
        <v>277930.60714285716</v>
      </c>
    </row>
    <row r="23" spans="1:8" x14ac:dyDescent="0.35">
      <c r="A23" s="7">
        <v>9</v>
      </c>
      <c r="B23" s="3">
        <v>8.2678571428571423</v>
      </c>
      <c r="D23" s="7">
        <v>3</v>
      </c>
      <c r="E23" s="32">
        <v>300753.48387096776</v>
      </c>
    </row>
    <row r="24" spans="1:8" x14ac:dyDescent="0.35">
      <c r="A24" s="7" t="s">
        <v>1046</v>
      </c>
      <c r="B24" s="3">
        <v>8.8611111111111107</v>
      </c>
      <c r="D24" s="7">
        <v>4</v>
      </c>
      <c r="E24" s="32">
        <v>256142.64285714287</v>
      </c>
    </row>
    <row r="25" spans="1:8" x14ac:dyDescent="0.35">
      <c r="D25" s="7">
        <v>5</v>
      </c>
      <c r="E25" s="32">
        <v>333605.25641025644</v>
      </c>
    </row>
    <row r="26" spans="1:8" x14ac:dyDescent="0.35">
      <c r="D26" s="7">
        <v>6</v>
      </c>
      <c r="E26" s="32">
        <v>298524.08</v>
      </c>
    </row>
    <row r="27" spans="1:8" x14ac:dyDescent="0.35">
      <c r="D27" s="7">
        <v>7</v>
      </c>
      <c r="E27" s="32">
        <v>305837.46875</v>
      </c>
    </row>
    <row r="28" spans="1:8" x14ac:dyDescent="0.35">
      <c r="D28" s="7">
        <v>8</v>
      </c>
      <c r="E28" s="32">
        <v>325429.44827586209</v>
      </c>
    </row>
    <row r="29" spans="1:8" x14ac:dyDescent="0.35">
      <c r="D29" s="7">
        <v>9</v>
      </c>
      <c r="E29" s="32">
        <v>293829.65000000002</v>
      </c>
    </row>
    <row r="30" spans="1:8" x14ac:dyDescent="0.35">
      <c r="D30" s="7">
        <v>10</v>
      </c>
      <c r="E30" s="32">
        <v>294281.40540540538</v>
      </c>
    </row>
    <row r="31" spans="1:8" x14ac:dyDescent="0.35">
      <c r="D31" s="7">
        <v>11</v>
      </c>
      <c r="E31" s="32">
        <v>275193.5172413793</v>
      </c>
    </row>
    <row r="32" spans="1:8" x14ac:dyDescent="0.35">
      <c r="D32" s="7">
        <v>12</v>
      </c>
      <c r="E32" s="32">
        <v>280525.8823529412</v>
      </c>
    </row>
    <row r="33" spans="4:5" x14ac:dyDescent="0.35">
      <c r="D33" s="7">
        <v>13</v>
      </c>
      <c r="E33" s="32">
        <v>301202.75675675675</v>
      </c>
    </row>
    <row r="34" spans="4:5" x14ac:dyDescent="0.35">
      <c r="D34" s="7">
        <v>14</v>
      </c>
      <c r="E34" s="32">
        <v>317382.13157894736</v>
      </c>
    </row>
    <row r="35" spans="4:5" x14ac:dyDescent="0.35">
      <c r="D35" s="7">
        <v>15</v>
      </c>
      <c r="E35" s="32">
        <v>280711.68292682926</v>
      </c>
    </row>
    <row r="36" spans="4:5" x14ac:dyDescent="0.35">
      <c r="D36" s="7" t="s">
        <v>1046</v>
      </c>
      <c r="E36" s="32">
        <v>296687.30982905981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9"/>
  <sheetViews>
    <sheetView workbookViewId="0"/>
  </sheetViews>
  <sheetFormatPr defaultRowHeight="14.5" x14ac:dyDescent="0.35"/>
  <cols>
    <col min="1" max="1" width="18.6328125" customWidth="1"/>
    <col min="2" max="2" width="25.26953125" customWidth="1"/>
    <col min="3" max="3" width="15.1796875" style="3" customWidth="1"/>
    <col min="4" max="4" width="18.7265625" customWidth="1"/>
    <col min="5" max="5" width="20.08984375" customWidth="1"/>
    <col min="6" max="6" width="22.6328125" customWidth="1"/>
    <col min="7" max="7" width="21" customWidth="1"/>
    <col min="8" max="8" width="25.36328125" style="31" customWidth="1"/>
    <col min="9" max="9" width="27.08984375" style="31" customWidth="1"/>
    <col min="10" max="10" width="21.6328125" style="26" customWidth="1"/>
    <col min="11" max="11" width="24" style="3" customWidth="1"/>
    <col min="12" max="12" width="25.36328125" style="3" customWidth="1"/>
    <col min="13" max="13" width="23.7265625" style="3" customWidth="1"/>
    <col min="14" max="14" width="19.90625" style="26" customWidth="1"/>
    <col min="15" max="15" width="22.6328125" style="3" customWidth="1"/>
    <col min="16" max="16" width="18.1796875" customWidth="1"/>
    <col min="17" max="17" width="19.7265625" customWidth="1"/>
    <col min="18" max="18" width="18.453125" bestFit="1" customWidth="1"/>
    <col min="19" max="19" width="21.453125" customWidth="1"/>
  </cols>
  <sheetData>
    <row r="1" spans="1:19" ht="15" thickBot="1" x14ac:dyDescent="0.4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27" t="s">
        <v>7</v>
      </c>
      <c r="I1" s="27" t="s">
        <v>8</v>
      </c>
      <c r="J1" s="22" t="s">
        <v>1050</v>
      </c>
      <c r="K1" s="10" t="s">
        <v>10</v>
      </c>
      <c r="L1" s="10" t="s">
        <v>11</v>
      </c>
      <c r="M1" s="10" t="s">
        <v>12</v>
      </c>
      <c r="N1" s="22" t="s">
        <v>1051</v>
      </c>
      <c r="O1" s="11" t="s">
        <v>1045</v>
      </c>
      <c r="P1" s="8" t="s">
        <v>1048</v>
      </c>
      <c r="Q1" s="8" t="s">
        <v>1049</v>
      </c>
      <c r="R1" t="s">
        <v>1054</v>
      </c>
      <c r="S1" t="s">
        <v>1056</v>
      </c>
    </row>
    <row r="2" spans="1:19" ht="15" thickTop="1" x14ac:dyDescent="0.35">
      <c r="A2" s="12" t="s">
        <v>14</v>
      </c>
      <c r="B2" s="13" t="s">
        <v>514</v>
      </c>
      <c r="C2" s="14">
        <v>36</v>
      </c>
      <c r="D2" s="13" t="s">
        <v>1057</v>
      </c>
      <c r="E2" s="13" t="s">
        <v>1016</v>
      </c>
      <c r="F2" s="13" t="s">
        <v>1023</v>
      </c>
      <c r="G2" s="13" t="s">
        <v>1030</v>
      </c>
      <c r="H2" s="28">
        <v>45760</v>
      </c>
      <c r="I2" s="28">
        <v>45763</v>
      </c>
      <c r="J2" s="23">
        <v>63112</v>
      </c>
      <c r="K2" s="14">
        <v>8</v>
      </c>
      <c r="L2" s="14">
        <v>11</v>
      </c>
      <c r="M2" s="14">
        <v>2</v>
      </c>
      <c r="N2" s="23">
        <v>0</v>
      </c>
      <c r="O2" s="15">
        <v>3</v>
      </c>
      <c r="P2" t="str">
        <f t="shared" ref="P2:P65" si="0">IF(C2&lt;=12,"Children", IF(C2&lt;=19,"Teenagers", IF(C2&lt;60, "Adults","Older Adults")))</f>
        <v>Adults</v>
      </c>
      <c r="Q2" t="str">
        <f t="shared" ref="Q2:Q65" si="1">IF(J2&lt;100000,"Low", IF(J2&lt;150000,"Medium","High"))</f>
        <v>Low</v>
      </c>
      <c r="R2" t="str">
        <f>IF(OR(AND(Table1[[#This Row],[Diagnosis]]="Labour Complication",Table1[[#This Row],[Gender]]="M"), AND(Table1[[#This Row],[Diagnosis]]="Labour Complication",Table1[[#This Row],[Age]]&lt;15)),"Error","OK")</f>
        <v>OK</v>
      </c>
      <c r="S2" s="4">
        <f>Table1[[#This Row],[Bill_Amount]]+Table1[[#This Row],[Surgery_Cost]]</f>
        <v>63112</v>
      </c>
    </row>
    <row r="3" spans="1:19" x14ac:dyDescent="0.35">
      <c r="A3" s="19" t="s">
        <v>16</v>
      </c>
      <c r="B3" s="20" t="s">
        <v>516</v>
      </c>
      <c r="C3" s="21">
        <v>28</v>
      </c>
      <c r="D3" s="20" t="s">
        <v>1057</v>
      </c>
      <c r="E3" s="20" t="s">
        <v>1018</v>
      </c>
      <c r="F3" s="20" t="s">
        <v>1025</v>
      </c>
      <c r="G3" s="20" t="s">
        <v>1032</v>
      </c>
      <c r="H3" s="29">
        <v>45791</v>
      </c>
      <c r="I3" s="29">
        <v>45793</v>
      </c>
      <c r="J3" s="24">
        <v>99123</v>
      </c>
      <c r="K3" s="21">
        <v>3</v>
      </c>
      <c r="L3" s="21">
        <v>13</v>
      </c>
      <c r="M3" s="21">
        <v>4</v>
      </c>
      <c r="N3" s="24">
        <v>0</v>
      </c>
      <c r="O3" s="21">
        <v>2</v>
      </c>
      <c r="P3" t="str">
        <f>IF(C3&lt;=12,"Children", IF(C3&lt;=19,"Teenagers", IF(C3&lt;60, "Adults","Older Adults")))</f>
        <v>Adults</v>
      </c>
      <c r="Q3" t="str">
        <f t="shared" si="1"/>
        <v>Low</v>
      </c>
      <c r="R3" t="str">
        <f>IF(OR(AND(Table1[[#This Row],[Diagnosis]]="Labour Complication",Table1[[#This Row],[Gender]]="M"), AND(Table1[[#This Row],[Diagnosis]]="Labour Complication",Table1[[#This Row],[Age]]&lt;15)),"Error","OK")</f>
        <v>OK</v>
      </c>
      <c r="S3" s="4">
        <f>Table1[[#This Row],[Bill_Amount]]+Table1[[#This Row],[Surgery_Cost]]</f>
        <v>99123</v>
      </c>
    </row>
    <row r="4" spans="1:19" x14ac:dyDescent="0.35">
      <c r="A4" s="16" t="s">
        <v>17</v>
      </c>
      <c r="B4" s="17" t="s">
        <v>517</v>
      </c>
      <c r="C4" s="18">
        <v>26</v>
      </c>
      <c r="D4" s="17" t="s">
        <v>1058</v>
      </c>
      <c r="E4" s="17" t="s">
        <v>1019</v>
      </c>
      <c r="F4" s="17" t="s">
        <v>1026</v>
      </c>
      <c r="G4" s="17" t="s">
        <v>1033</v>
      </c>
      <c r="H4" s="30">
        <v>45768</v>
      </c>
      <c r="I4" s="30">
        <v>45770</v>
      </c>
      <c r="J4" s="25">
        <v>344254</v>
      </c>
      <c r="K4" s="18">
        <v>5</v>
      </c>
      <c r="L4" s="18">
        <v>6</v>
      </c>
      <c r="M4" s="18">
        <v>1</v>
      </c>
      <c r="N4" s="25">
        <v>0</v>
      </c>
      <c r="O4" s="18">
        <v>2</v>
      </c>
      <c r="P4" t="str">
        <f t="shared" si="0"/>
        <v>Adults</v>
      </c>
      <c r="Q4" t="str">
        <f t="shared" si="1"/>
        <v>High</v>
      </c>
      <c r="R4" t="str">
        <f>IF(OR(AND(Table1[[#This Row],[Diagnosis]]="Labour Complication",Table1[[#This Row],[Gender]]="M"), AND(Table1[[#This Row],[Diagnosis]]="Labour Complication",Table1[[#This Row],[Age]]&lt;15)),"Error","OK")</f>
        <v>OK</v>
      </c>
      <c r="S4" s="4">
        <f>Table1[[#This Row],[Bill_Amount]]+Table1[[#This Row],[Surgery_Cost]]</f>
        <v>344254</v>
      </c>
    </row>
    <row r="5" spans="1:19" x14ac:dyDescent="0.35">
      <c r="A5" s="19" t="s">
        <v>18</v>
      </c>
      <c r="B5" s="20" t="s">
        <v>518</v>
      </c>
      <c r="C5" s="21">
        <v>1</v>
      </c>
      <c r="D5" s="20" t="s">
        <v>1057</v>
      </c>
      <c r="E5" s="20" t="s">
        <v>1020</v>
      </c>
      <c r="F5" s="20" t="s">
        <v>1027</v>
      </c>
      <c r="G5" s="20" t="s">
        <v>1034</v>
      </c>
      <c r="H5" s="29">
        <v>45752</v>
      </c>
      <c r="I5" s="29">
        <v>45763</v>
      </c>
      <c r="J5" s="24">
        <v>195852</v>
      </c>
      <c r="K5" s="21">
        <v>9</v>
      </c>
      <c r="L5" s="21">
        <v>13</v>
      </c>
      <c r="M5" s="21">
        <v>4</v>
      </c>
      <c r="N5" s="24">
        <v>0</v>
      </c>
      <c r="O5" s="21">
        <v>11</v>
      </c>
      <c r="P5" t="str">
        <f t="shared" si="0"/>
        <v>Children</v>
      </c>
      <c r="Q5" t="str">
        <f t="shared" si="1"/>
        <v>High</v>
      </c>
      <c r="R5" t="str">
        <f>IF(OR(AND(Table1[[#This Row],[Diagnosis]]="Labour Complication",Table1[[#This Row],[Gender]]="M"), AND(Table1[[#This Row],[Diagnosis]]="Labour Complication",Table1[[#This Row],[Age]]&lt;15)),"Error","OK")</f>
        <v>OK</v>
      </c>
      <c r="S5" s="4">
        <f>Table1[[#This Row],[Bill_Amount]]+Table1[[#This Row],[Surgery_Cost]]</f>
        <v>195852</v>
      </c>
    </row>
    <row r="6" spans="1:19" x14ac:dyDescent="0.35">
      <c r="A6" s="16" t="s">
        <v>19</v>
      </c>
      <c r="B6" s="17" t="s">
        <v>519</v>
      </c>
      <c r="C6" s="18">
        <v>28</v>
      </c>
      <c r="D6" s="17" t="s">
        <v>1058</v>
      </c>
      <c r="E6" s="17" t="s">
        <v>1021</v>
      </c>
      <c r="F6" s="17" t="s">
        <v>1028</v>
      </c>
      <c r="G6" s="17" t="s">
        <v>1035</v>
      </c>
      <c r="H6" s="30">
        <v>45768</v>
      </c>
      <c r="I6" s="30">
        <v>45774</v>
      </c>
      <c r="J6" s="25">
        <v>131516</v>
      </c>
      <c r="K6" s="18">
        <v>1</v>
      </c>
      <c r="L6" s="18">
        <v>9</v>
      </c>
      <c r="M6" s="18">
        <v>1</v>
      </c>
      <c r="N6" s="25">
        <v>119574</v>
      </c>
      <c r="O6" s="18">
        <v>6</v>
      </c>
      <c r="P6" t="str">
        <f t="shared" si="0"/>
        <v>Adults</v>
      </c>
      <c r="Q6" t="str">
        <f t="shared" si="1"/>
        <v>Medium</v>
      </c>
      <c r="R6" t="str">
        <f>IF(OR(AND(Table1[[#This Row],[Diagnosis]]="Labour Complication",Table1[[#This Row],[Gender]]="M"), AND(Table1[[#This Row],[Diagnosis]]="Labour Complication",Table1[[#This Row],[Age]]&lt;15)),"Error","OK")</f>
        <v>OK</v>
      </c>
      <c r="S6" s="4">
        <f>Table1[[#This Row],[Bill_Amount]]+Table1[[#This Row],[Surgery_Cost]]</f>
        <v>251090</v>
      </c>
    </row>
    <row r="7" spans="1:19" x14ac:dyDescent="0.35">
      <c r="A7" s="19" t="s">
        <v>20</v>
      </c>
      <c r="B7" s="20" t="s">
        <v>520</v>
      </c>
      <c r="C7" s="21">
        <v>46</v>
      </c>
      <c r="D7" s="20" t="s">
        <v>1058</v>
      </c>
      <c r="E7" s="20" t="s">
        <v>1018</v>
      </c>
      <c r="F7" s="20" t="s">
        <v>1025</v>
      </c>
      <c r="G7" s="20" t="s">
        <v>1032</v>
      </c>
      <c r="H7" s="29">
        <v>45775</v>
      </c>
      <c r="I7" s="29">
        <v>45783</v>
      </c>
      <c r="J7" s="24">
        <v>100707</v>
      </c>
      <c r="K7" s="21">
        <v>1</v>
      </c>
      <c r="L7" s="21">
        <v>18</v>
      </c>
      <c r="M7" s="21">
        <v>4</v>
      </c>
      <c r="N7" s="24">
        <v>0</v>
      </c>
      <c r="O7" s="21">
        <v>8</v>
      </c>
      <c r="P7" t="str">
        <f t="shared" si="0"/>
        <v>Adults</v>
      </c>
      <c r="Q7" t="str">
        <f t="shared" si="1"/>
        <v>Medium</v>
      </c>
      <c r="R7" t="str">
        <f>IF(OR(AND(Table1[[#This Row],[Diagnosis]]="Labour Complication",Table1[[#This Row],[Gender]]="M"), AND(Table1[[#This Row],[Diagnosis]]="Labour Complication",Table1[[#This Row],[Age]]&lt;15)),"Error","OK")</f>
        <v>OK</v>
      </c>
      <c r="S7" s="4">
        <f>Table1[[#This Row],[Bill_Amount]]+Table1[[#This Row],[Surgery_Cost]]</f>
        <v>100707</v>
      </c>
    </row>
    <row r="8" spans="1:19" x14ac:dyDescent="0.35">
      <c r="A8" s="16" t="s">
        <v>21</v>
      </c>
      <c r="B8" s="17" t="s">
        <v>521</v>
      </c>
      <c r="C8" s="18">
        <v>59</v>
      </c>
      <c r="D8" s="17" t="s">
        <v>1057</v>
      </c>
      <c r="E8" s="17" t="s">
        <v>1021</v>
      </c>
      <c r="F8" s="17" t="s">
        <v>1028</v>
      </c>
      <c r="G8" s="17" t="s">
        <v>1036</v>
      </c>
      <c r="H8" s="30">
        <v>45777</v>
      </c>
      <c r="I8" s="30">
        <v>45791</v>
      </c>
      <c r="J8" s="25">
        <v>72780</v>
      </c>
      <c r="K8" s="18">
        <v>3</v>
      </c>
      <c r="L8" s="18">
        <v>3</v>
      </c>
      <c r="M8" s="18">
        <v>1</v>
      </c>
      <c r="N8" s="25">
        <v>271151</v>
      </c>
      <c r="O8" s="18">
        <v>14</v>
      </c>
      <c r="P8" t="str">
        <f t="shared" si="0"/>
        <v>Adults</v>
      </c>
      <c r="Q8" t="str">
        <f t="shared" si="1"/>
        <v>Low</v>
      </c>
      <c r="R8" t="str">
        <f>IF(OR(AND(Table1[[#This Row],[Diagnosis]]="Labour Complication",Table1[[#This Row],[Gender]]="M"), AND(Table1[[#This Row],[Diagnosis]]="Labour Complication",Table1[[#This Row],[Age]]&lt;15)),"Error","OK")</f>
        <v>OK</v>
      </c>
      <c r="S8" s="4">
        <f>Table1[[#This Row],[Bill_Amount]]+Table1[[#This Row],[Surgery_Cost]]</f>
        <v>343931</v>
      </c>
    </row>
    <row r="9" spans="1:19" x14ac:dyDescent="0.35">
      <c r="A9" s="19" t="s">
        <v>22</v>
      </c>
      <c r="B9" s="20" t="s">
        <v>522</v>
      </c>
      <c r="C9" s="21">
        <v>81</v>
      </c>
      <c r="D9" s="20" t="s">
        <v>1058</v>
      </c>
      <c r="E9" s="20" t="s">
        <v>1018</v>
      </c>
      <c r="F9" s="20" t="s">
        <v>1025</v>
      </c>
      <c r="G9" s="20" t="s">
        <v>1032</v>
      </c>
      <c r="H9" s="29">
        <v>45799</v>
      </c>
      <c r="I9" s="29">
        <v>45809</v>
      </c>
      <c r="J9" s="24">
        <v>203709</v>
      </c>
      <c r="K9" s="21">
        <v>5</v>
      </c>
      <c r="L9" s="21">
        <v>13</v>
      </c>
      <c r="M9" s="21">
        <v>4</v>
      </c>
      <c r="N9" s="24">
        <v>0</v>
      </c>
      <c r="O9" s="21">
        <v>10</v>
      </c>
      <c r="P9" t="str">
        <f t="shared" si="0"/>
        <v>Older Adults</v>
      </c>
      <c r="Q9" t="str">
        <f t="shared" si="1"/>
        <v>High</v>
      </c>
      <c r="R9" t="str">
        <f>IF(OR(AND(Table1[[#This Row],[Diagnosis]]="Labour Complication",Table1[[#This Row],[Gender]]="M"), AND(Table1[[#This Row],[Diagnosis]]="Labour Complication",Table1[[#This Row],[Age]]&lt;15)),"Error","OK")</f>
        <v>OK</v>
      </c>
      <c r="S9" s="4">
        <f>Table1[[#This Row],[Bill_Amount]]+Table1[[#This Row],[Surgery_Cost]]</f>
        <v>203709</v>
      </c>
    </row>
    <row r="10" spans="1:19" x14ac:dyDescent="0.35">
      <c r="A10" s="19" t="s">
        <v>24</v>
      </c>
      <c r="B10" s="20" t="s">
        <v>524</v>
      </c>
      <c r="C10" s="21">
        <v>13</v>
      </c>
      <c r="D10" s="20" t="s">
        <v>1058</v>
      </c>
      <c r="E10" s="20" t="s">
        <v>1018</v>
      </c>
      <c r="F10" s="20" t="s">
        <v>1025</v>
      </c>
      <c r="G10" s="20" t="s">
        <v>1037</v>
      </c>
      <c r="H10" s="29">
        <v>45791</v>
      </c>
      <c r="I10" s="29">
        <v>45806</v>
      </c>
      <c r="J10" s="24">
        <v>172049</v>
      </c>
      <c r="K10" s="21">
        <v>6</v>
      </c>
      <c r="L10" s="21">
        <v>4</v>
      </c>
      <c r="M10" s="21">
        <v>3</v>
      </c>
      <c r="N10" s="24">
        <v>0</v>
      </c>
      <c r="O10" s="21">
        <v>15</v>
      </c>
      <c r="P10" t="str">
        <f t="shared" si="0"/>
        <v>Teenagers</v>
      </c>
      <c r="Q10" t="str">
        <f t="shared" si="1"/>
        <v>High</v>
      </c>
      <c r="R10" t="str">
        <f>IF(OR(AND(Table1[[#This Row],[Diagnosis]]="Labour Complication",Table1[[#This Row],[Gender]]="M"), AND(Table1[[#This Row],[Diagnosis]]="Labour Complication",Table1[[#This Row],[Age]]&lt;15)),"Error","OK")</f>
        <v>OK</v>
      </c>
      <c r="S10" s="4">
        <f>Table1[[#This Row],[Bill_Amount]]+Table1[[#This Row],[Surgery_Cost]]</f>
        <v>172049</v>
      </c>
    </row>
    <row r="11" spans="1:19" x14ac:dyDescent="0.35">
      <c r="A11" s="16" t="s">
        <v>25</v>
      </c>
      <c r="B11" s="17" t="s">
        <v>525</v>
      </c>
      <c r="C11" s="18">
        <v>47</v>
      </c>
      <c r="D11" s="17" t="s">
        <v>1057</v>
      </c>
      <c r="E11" s="17" t="s">
        <v>1020</v>
      </c>
      <c r="F11" s="17" t="s">
        <v>1027</v>
      </c>
      <c r="G11" s="17" t="s">
        <v>1034</v>
      </c>
      <c r="H11" s="30">
        <v>45792</v>
      </c>
      <c r="I11" s="30">
        <v>45804</v>
      </c>
      <c r="J11" s="25">
        <v>487314</v>
      </c>
      <c r="K11" s="18">
        <v>4</v>
      </c>
      <c r="L11" s="18">
        <v>9</v>
      </c>
      <c r="M11" s="18">
        <v>1</v>
      </c>
      <c r="N11" s="25">
        <v>0</v>
      </c>
      <c r="O11" s="18">
        <v>12</v>
      </c>
      <c r="P11" t="str">
        <f t="shared" si="0"/>
        <v>Adults</v>
      </c>
      <c r="Q11" t="str">
        <f t="shared" si="1"/>
        <v>High</v>
      </c>
      <c r="R11" t="str">
        <f>IF(OR(AND(Table1[[#This Row],[Diagnosis]]="Labour Complication",Table1[[#This Row],[Gender]]="M"), AND(Table1[[#This Row],[Diagnosis]]="Labour Complication",Table1[[#This Row],[Age]]&lt;15)),"Error","OK")</f>
        <v>OK</v>
      </c>
      <c r="S11" s="4">
        <f>Table1[[#This Row],[Bill_Amount]]+Table1[[#This Row],[Surgery_Cost]]</f>
        <v>487314</v>
      </c>
    </row>
    <row r="12" spans="1:19" x14ac:dyDescent="0.35">
      <c r="A12" s="19" t="s">
        <v>26</v>
      </c>
      <c r="B12" s="20" t="s">
        <v>526</v>
      </c>
      <c r="C12" s="21">
        <v>35</v>
      </c>
      <c r="D12" s="20" t="s">
        <v>1057</v>
      </c>
      <c r="E12" s="20" t="s">
        <v>1021</v>
      </c>
      <c r="F12" s="20" t="s">
        <v>1028</v>
      </c>
      <c r="G12" s="20" t="s">
        <v>1035</v>
      </c>
      <c r="H12" s="29">
        <v>45762</v>
      </c>
      <c r="I12" s="29">
        <v>45767</v>
      </c>
      <c r="J12" s="24">
        <v>401364</v>
      </c>
      <c r="K12" s="21">
        <v>7</v>
      </c>
      <c r="L12" s="21">
        <v>18</v>
      </c>
      <c r="M12" s="21">
        <v>4</v>
      </c>
      <c r="N12" s="24">
        <v>193479</v>
      </c>
      <c r="O12" s="21">
        <v>5</v>
      </c>
      <c r="P12" t="str">
        <f t="shared" si="0"/>
        <v>Adults</v>
      </c>
      <c r="Q12" t="str">
        <f t="shared" si="1"/>
        <v>High</v>
      </c>
      <c r="R12" t="str">
        <f>IF(OR(AND(Table1[[#This Row],[Diagnosis]]="Labour Complication",Table1[[#This Row],[Gender]]="M"), AND(Table1[[#This Row],[Diagnosis]]="Labour Complication",Table1[[#This Row],[Age]]&lt;15)),"Error","OK")</f>
        <v>OK</v>
      </c>
      <c r="S12" s="4">
        <f>Table1[[#This Row],[Bill_Amount]]+Table1[[#This Row],[Surgery_Cost]]</f>
        <v>594843</v>
      </c>
    </row>
    <row r="13" spans="1:19" x14ac:dyDescent="0.35">
      <c r="A13" s="16" t="s">
        <v>27</v>
      </c>
      <c r="B13" s="17" t="s">
        <v>527</v>
      </c>
      <c r="C13" s="18">
        <v>21</v>
      </c>
      <c r="D13" s="17" t="s">
        <v>1058</v>
      </c>
      <c r="E13" s="17" t="s">
        <v>1019</v>
      </c>
      <c r="F13" s="17" t="s">
        <v>1026</v>
      </c>
      <c r="G13" s="17" t="s">
        <v>1038</v>
      </c>
      <c r="H13" s="30">
        <v>45783</v>
      </c>
      <c r="I13" s="30">
        <v>45796</v>
      </c>
      <c r="J13" s="25">
        <v>178351</v>
      </c>
      <c r="K13" s="18">
        <v>6</v>
      </c>
      <c r="L13" s="18">
        <v>6</v>
      </c>
      <c r="M13" s="18">
        <v>1</v>
      </c>
      <c r="N13" s="25">
        <v>0</v>
      </c>
      <c r="O13" s="18">
        <v>13</v>
      </c>
      <c r="P13" t="str">
        <f t="shared" si="0"/>
        <v>Adults</v>
      </c>
      <c r="Q13" t="str">
        <f t="shared" si="1"/>
        <v>High</v>
      </c>
      <c r="R13" t="str">
        <f>IF(OR(AND(Table1[[#This Row],[Diagnosis]]="Labour Complication",Table1[[#This Row],[Gender]]="M"), AND(Table1[[#This Row],[Diagnosis]]="Labour Complication",Table1[[#This Row],[Age]]&lt;15)),"Error","OK")</f>
        <v>OK</v>
      </c>
      <c r="S13" s="4">
        <f>Table1[[#This Row],[Bill_Amount]]+Table1[[#This Row],[Surgery_Cost]]</f>
        <v>178351</v>
      </c>
    </row>
    <row r="14" spans="1:19" x14ac:dyDescent="0.35">
      <c r="A14" s="19" t="s">
        <v>28</v>
      </c>
      <c r="B14" s="20" t="s">
        <v>528</v>
      </c>
      <c r="C14" s="21">
        <v>72</v>
      </c>
      <c r="D14" s="20" t="s">
        <v>1057</v>
      </c>
      <c r="E14" s="20" t="s">
        <v>1021</v>
      </c>
      <c r="F14" s="20" t="s">
        <v>1028</v>
      </c>
      <c r="G14" s="20" t="s">
        <v>1036</v>
      </c>
      <c r="H14" s="29">
        <v>45746</v>
      </c>
      <c r="I14" s="29">
        <v>45758</v>
      </c>
      <c r="J14" s="24">
        <v>410795</v>
      </c>
      <c r="K14" s="21">
        <v>7</v>
      </c>
      <c r="L14" s="21">
        <v>19</v>
      </c>
      <c r="M14" s="21">
        <v>1</v>
      </c>
      <c r="N14" s="24">
        <v>189345</v>
      </c>
      <c r="O14" s="21">
        <v>12</v>
      </c>
      <c r="P14" t="str">
        <f t="shared" si="0"/>
        <v>Older Adults</v>
      </c>
      <c r="Q14" t="str">
        <f t="shared" si="1"/>
        <v>High</v>
      </c>
      <c r="R14" t="str">
        <f>IF(OR(AND(Table1[[#This Row],[Diagnosis]]="Labour Complication",Table1[[#This Row],[Gender]]="M"), AND(Table1[[#This Row],[Diagnosis]]="Labour Complication",Table1[[#This Row],[Age]]&lt;15)),"Error","OK")</f>
        <v>OK</v>
      </c>
      <c r="S14" s="4">
        <f>Table1[[#This Row],[Bill_Amount]]+Table1[[#This Row],[Surgery_Cost]]</f>
        <v>600140</v>
      </c>
    </row>
    <row r="15" spans="1:19" x14ac:dyDescent="0.35">
      <c r="A15" s="16" t="s">
        <v>29</v>
      </c>
      <c r="B15" s="17" t="s">
        <v>529</v>
      </c>
      <c r="C15" s="18">
        <v>8</v>
      </c>
      <c r="D15" s="17" t="s">
        <v>1057</v>
      </c>
      <c r="E15" s="17" t="s">
        <v>1022</v>
      </c>
      <c r="F15" s="17" t="s">
        <v>1029</v>
      </c>
      <c r="G15" s="17" t="s">
        <v>1039</v>
      </c>
      <c r="H15" s="30">
        <v>45751</v>
      </c>
      <c r="I15" s="30">
        <v>45765</v>
      </c>
      <c r="J15" s="25">
        <v>456847</v>
      </c>
      <c r="K15" s="18">
        <v>6</v>
      </c>
      <c r="L15" s="18">
        <v>16</v>
      </c>
      <c r="M15" s="18">
        <v>4</v>
      </c>
      <c r="N15" s="25">
        <v>0</v>
      </c>
      <c r="O15" s="18">
        <v>14</v>
      </c>
      <c r="P15" t="str">
        <f t="shared" si="0"/>
        <v>Children</v>
      </c>
      <c r="Q15" t="str">
        <f t="shared" si="1"/>
        <v>High</v>
      </c>
      <c r="R15" t="str">
        <f>IF(OR(AND(Table1[[#This Row],[Diagnosis]]="Labour Complication",Table1[[#This Row],[Gender]]="M"), AND(Table1[[#This Row],[Diagnosis]]="Labour Complication",Table1[[#This Row],[Age]]&lt;15)),"Error","OK")</f>
        <v>OK</v>
      </c>
      <c r="S15" s="4">
        <f>Table1[[#This Row],[Bill_Amount]]+Table1[[#This Row],[Surgery_Cost]]</f>
        <v>456847</v>
      </c>
    </row>
    <row r="16" spans="1:19" x14ac:dyDescent="0.35">
      <c r="A16" s="19" t="s">
        <v>30</v>
      </c>
      <c r="B16" s="20" t="s">
        <v>530</v>
      </c>
      <c r="C16" s="21">
        <v>35</v>
      </c>
      <c r="D16" s="20" t="s">
        <v>1057</v>
      </c>
      <c r="E16" s="20" t="s">
        <v>1022</v>
      </c>
      <c r="F16" s="20" t="s">
        <v>1029</v>
      </c>
      <c r="G16" s="20" t="s">
        <v>1039</v>
      </c>
      <c r="H16" s="29">
        <v>45767</v>
      </c>
      <c r="I16" s="29">
        <v>45774</v>
      </c>
      <c r="J16" s="24">
        <v>260325</v>
      </c>
      <c r="K16" s="21">
        <v>9</v>
      </c>
      <c r="L16" s="21">
        <v>18</v>
      </c>
      <c r="M16" s="21">
        <v>4</v>
      </c>
      <c r="N16" s="24">
        <v>0</v>
      </c>
      <c r="O16" s="21">
        <v>7</v>
      </c>
      <c r="P16" t="str">
        <f t="shared" si="0"/>
        <v>Adults</v>
      </c>
      <c r="Q16" t="str">
        <f t="shared" si="1"/>
        <v>High</v>
      </c>
      <c r="R16" t="str">
        <f>IF(OR(AND(Table1[[#This Row],[Diagnosis]]="Labour Complication",Table1[[#This Row],[Gender]]="M"), AND(Table1[[#This Row],[Diagnosis]]="Labour Complication",Table1[[#This Row],[Age]]&lt;15)),"Error","OK")</f>
        <v>OK</v>
      </c>
      <c r="S16" s="4">
        <f>Table1[[#This Row],[Bill_Amount]]+Table1[[#This Row],[Surgery_Cost]]</f>
        <v>260325</v>
      </c>
    </row>
    <row r="17" spans="1:19" x14ac:dyDescent="0.35">
      <c r="A17" s="16" t="s">
        <v>31</v>
      </c>
      <c r="B17" s="17" t="s">
        <v>531</v>
      </c>
      <c r="C17" s="18">
        <v>28</v>
      </c>
      <c r="D17" s="17" t="s">
        <v>1058</v>
      </c>
      <c r="E17" s="17" t="s">
        <v>1019</v>
      </c>
      <c r="F17" s="17" t="s">
        <v>1026</v>
      </c>
      <c r="G17" s="17" t="s">
        <v>1038</v>
      </c>
      <c r="H17" s="30">
        <v>45758</v>
      </c>
      <c r="I17" s="30">
        <v>45771</v>
      </c>
      <c r="J17" s="25">
        <v>214981</v>
      </c>
      <c r="K17" s="18">
        <v>6</v>
      </c>
      <c r="L17" s="18">
        <v>14</v>
      </c>
      <c r="M17" s="18">
        <v>4</v>
      </c>
      <c r="N17" s="25">
        <v>0</v>
      </c>
      <c r="O17" s="18">
        <v>13</v>
      </c>
      <c r="P17" t="str">
        <f t="shared" si="0"/>
        <v>Adults</v>
      </c>
      <c r="Q17" t="str">
        <f t="shared" si="1"/>
        <v>High</v>
      </c>
      <c r="R17" t="str">
        <f>IF(OR(AND(Table1[[#This Row],[Diagnosis]]="Labour Complication",Table1[[#This Row],[Gender]]="M"), AND(Table1[[#This Row],[Diagnosis]]="Labour Complication",Table1[[#This Row],[Age]]&lt;15)),"Error","OK")</f>
        <v>OK</v>
      </c>
      <c r="S17" s="4">
        <f>Table1[[#This Row],[Bill_Amount]]+Table1[[#This Row],[Surgery_Cost]]</f>
        <v>214981</v>
      </c>
    </row>
    <row r="18" spans="1:19" x14ac:dyDescent="0.35">
      <c r="A18" s="19" t="s">
        <v>32</v>
      </c>
      <c r="B18" s="20" t="s">
        <v>532</v>
      </c>
      <c r="C18" s="21">
        <v>34</v>
      </c>
      <c r="D18" s="20" t="s">
        <v>1057</v>
      </c>
      <c r="E18" s="20" t="s">
        <v>1016</v>
      </c>
      <c r="F18" s="20" t="s">
        <v>1023</v>
      </c>
      <c r="G18" s="20" t="s">
        <v>1030</v>
      </c>
      <c r="H18" s="29">
        <v>45761</v>
      </c>
      <c r="I18" s="29">
        <v>45770</v>
      </c>
      <c r="J18" s="24">
        <v>124905</v>
      </c>
      <c r="K18" s="21">
        <v>2</v>
      </c>
      <c r="L18" s="21">
        <v>2</v>
      </c>
      <c r="M18" s="21">
        <v>2</v>
      </c>
      <c r="N18" s="24">
        <v>0</v>
      </c>
      <c r="O18" s="21">
        <v>9</v>
      </c>
      <c r="P18" t="str">
        <f t="shared" si="0"/>
        <v>Adults</v>
      </c>
      <c r="Q18" t="str">
        <f t="shared" si="1"/>
        <v>Medium</v>
      </c>
      <c r="R18" t="str">
        <f>IF(OR(AND(Table1[[#This Row],[Diagnosis]]="Labour Complication",Table1[[#This Row],[Gender]]="M"), AND(Table1[[#This Row],[Diagnosis]]="Labour Complication",Table1[[#This Row],[Age]]&lt;15)),"Error","OK")</f>
        <v>OK</v>
      </c>
      <c r="S18" s="4">
        <f>Table1[[#This Row],[Bill_Amount]]+Table1[[#This Row],[Surgery_Cost]]</f>
        <v>124905</v>
      </c>
    </row>
    <row r="19" spans="1:19" x14ac:dyDescent="0.35">
      <c r="A19" s="16" t="s">
        <v>33</v>
      </c>
      <c r="B19" s="17" t="s">
        <v>533</v>
      </c>
      <c r="C19" s="18">
        <v>34</v>
      </c>
      <c r="D19" s="17" t="s">
        <v>1058</v>
      </c>
      <c r="E19" s="17" t="s">
        <v>1016</v>
      </c>
      <c r="F19" s="17" t="s">
        <v>1023</v>
      </c>
      <c r="G19" s="17" t="s">
        <v>1040</v>
      </c>
      <c r="H19" s="30">
        <v>45752</v>
      </c>
      <c r="I19" s="30">
        <v>45762</v>
      </c>
      <c r="J19" s="25">
        <v>332579</v>
      </c>
      <c r="K19" s="18">
        <v>2</v>
      </c>
      <c r="L19" s="18">
        <v>17</v>
      </c>
      <c r="M19" s="18">
        <v>1</v>
      </c>
      <c r="N19" s="25">
        <v>0</v>
      </c>
      <c r="O19" s="18">
        <v>10</v>
      </c>
      <c r="P19" t="str">
        <f t="shared" si="0"/>
        <v>Adults</v>
      </c>
      <c r="Q19" t="str">
        <f t="shared" si="1"/>
        <v>High</v>
      </c>
      <c r="R19" t="str">
        <f>IF(OR(AND(Table1[[#This Row],[Diagnosis]]="Labour Complication",Table1[[#This Row],[Gender]]="M"), AND(Table1[[#This Row],[Diagnosis]]="Labour Complication",Table1[[#This Row],[Age]]&lt;15)),"Error","OK")</f>
        <v>OK</v>
      </c>
      <c r="S19" s="4">
        <f>Table1[[#This Row],[Bill_Amount]]+Table1[[#This Row],[Surgery_Cost]]</f>
        <v>332579</v>
      </c>
    </row>
    <row r="20" spans="1:19" x14ac:dyDescent="0.35">
      <c r="A20" s="19" t="s">
        <v>34</v>
      </c>
      <c r="B20" s="20" t="s">
        <v>534</v>
      </c>
      <c r="C20" s="21">
        <v>66</v>
      </c>
      <c r="D20" s="20" t="s">
        <v>1058</v>
      </c>
      <c r="E20" s="20" t="s">
        <v>1021</v>
      </c>
      <c r="F20" s="20" t="s">
        <v>1028</v>
      </c>
      <c r="G20" s="20" t="s">
        <v>1035</v>
      </c>
      <c r="H20" s="29">
        <v>45775</v>
      </c>
      <c r="I20" s="29">
        <v>45780</v>
      </c>
      <c r="J20" s="24">
        <v>122525</v>
      </c>
      <c r="K20" s="21">
        <v>1</v>
      </c>
      <c r="L20" s="21">
        <v>17</v>
      </c>
      <c r="M20" s="21">
        <v>2</v>
      </c>
      <c r="N20" s="24">
        <v>184302</v>
      </c>
      <c r="O20" s="21">
        <v>5</v>
      </c>
      <c r="P20" t="str">
        <f t="shared" si="0"/>
        <v>Older Adults</v>
      </c>
      <c r="Q20" t="str">
        <f t="shared" si="1"/>
        <v>Medium</v>
      </c>
      <c r="R20" t="str">
        <f>IF(OR(AND(Table1[[#This Row],[Diagnosis]]="Labour Complication",Table1[[#This Row],[Gender]]="M"), AND(Table1[[#This Row],[Diagnosis]]="Labour Complication",Table1[[#This Row],[Age]]&lt;15)),"Error","OK")</f>
        <v>OK</v>
      </c>
      <c r="S20" s="4">
        <f>Table1[[#This Row],[Bill_Amount]]+Table1[[#This Row],[Surgery_Cost]]</f>
        <v>306827</v>
      </c>
    </row>
    <row r="21" spans="1:19" x14ac:dyDescent="0.35">
      <c r="A21" s="16" t="s">
        <v>35</v>
      </c>
      <c r="B21" s="17" t="s">
        <v>535</v>
      </c>
      <c r="C21" s="18">
        <v>20</v>
      </c>
      <c r="D21" s="17" t="s">
        <v>1057</v>
      </c>
      <c r="E21" s="17" t="s">
        <v>1022</v>
      </c>
      <c r="F21" s="17" t="s">
        <v>1029</v>
      </c>
      <c r="G21" s="17" t="s">
        <v>1041</v>
      </c>
      <c r="H21" s="30">
        <v>45753</v>
      </c>
      <c r="I21" s="30">
        <v>45755</v>
      </c>
      <c r="J21" s="25">
        <v>107487</v>
      </c>
      <c r="K21" s="18">
        <v>9</v>
      </c>
      <c r="L21" s="18">
        <v>14</v>
      </c>
      <c r="M21" s="18">
        <v>4</v>
      </c>
      <c r="N21" s="25">
        <v>0</v>
      </c>
      <c r="O21" s="18">
        <v>2</v>
      </c>
      <c r="P21" t="str">
        <f t="shared" si="0"/>
        <v>Adults</v>
      </c>
      <c r="Q21" t="str">
        <f t="shared" si="1"/>
        <v>Medium</v>
      </c>
      <c r="R21" t="str">
        <f>IF(OR(AND(Table1[[#This Row],[Diagnosis]]="Labour Complication",Table1[[#This Row],[Gender]]="M"), AND(Table1[[#This Row],[Diagnosis]]="Labour Complication",Table1[[#This Row],[Age]]&lt;15)),"Error","OK")</f>
        <v>OK</v>
      </c>
      <c r="S21" s="4">
        <f>Table1[[#This Row],[Bill_Amount]]+Table1[[#This Row],[Surgery_Cost]]</f>
        <v>107487</v>
      </c>
    </row>
    <row r="22" spans="1:19" x14ac:dyDescent="0.35">
      <c r="A22" s="19" t="s">
        <v>36</v>
      </c>
      <c r="B22" s="20" t="s">
        <v>536</v>
      </c>
      <c r="C22" s="21">
        <v>49</v>
      </c>
      <c r="D22" s="20" t="s">
        <v>1058</v>
      </c>
      <c r="E22" s="20" t="s">
        <v>1019</v>
      </c>
      <c r="F22" s="20" t="s">
        <v>1026</v>
      </c>
      <c r="G22" s="20" t="s">
        <v>1038</v>
      </c>
      <c r="H22" s="29">
        <v>45746</v>
      </c>
      <c r="I22" s="29">
        <v>45749</v>
      </c>
      <c r="J22" s="24">
        <v>251728</v>
      </c>
      <c r="K22" s="21">
        <v>9</v>
      </c>
      <c r="L22" s="21">
        <v>8</v>
      </c>
      <c r="M22" s="21">
        <v>2</v>
      </c>
      <c r="N22" s="24">
        <v>0</v>
      </c>
      <c r="O22" s="21">
        <v>3</v>
      </c>
      <c r="P22" t="str">
        <f t="shared" si="0"/>
        <v>Adults</v>
      </c>
      <c r="Q22" t="str">
        <f t="shared" si="1"/>
        <v>High</v>
      </c>
      <c r="R22" t="str">
        <f>IF(OR(AND(Table1[[#This Row],[Diagnosis]]="Labour Complication",Table1[[#This Row],[Gender]]="M"), AND(Table1[[#This Row],[Diagnosis]]="Labour Complication",Table1[[#This Row],[Age]]&lt;15)),"Error","OK")</f>
        <v>OK</v>
      </c>
      <c r="S22" s="4">
        <f>Table1[[#This Row],[Bill_Amount]]+Table1[[#This Row],[Surgery_Cost]]</f>
        <v>251728</v>
      </c>
    </row>
    <row r="23" spans="1:19" x14ac:dyDescent="0.35">
      <c r="A23" s="16" t="s">
        <v>37</v>
      </c>
      <c r="B23" s="17" t="s">
        <v>537</v>
      </c>
      <c r="C23" s="18">
        <v>88</v>
      </c>
      <c r="D23" s="17" t="s">
        <v>1057</v>
      </c>
      <c r="E23" s="17" t="s">
        <v>1019</v>
      </c>
      <c r="F23" s="17" t="s">
        <v>1026</v>
      </c>
      <c r="G23" s="17" t="s">
        <v>1038</v>
      </c>
      <c r="H23" s="30">
        <v>45756</v>
      </c>
      <c r="I23" s="30">
        <v>45771</v>
      </c>
      <c r="J23" s="25">
        <v>56019</v>
      </c>
      <c r="K23" s="18">
        <v>8</v>
      </c>
      <c r="L23" s="18">
        <v>19</v>
      </c>
      <c r="M23" s="18">
        <v>1</v>
      </c>
      <c r="N23" s="25">
        <v>0</v>
      </c>
      <c r="O23" s="18">
        <v>15</v>
      </c>
      <c r="P23" t="str">
        <f t="shared" si="0"/>
        <v>Older Adults</v>
      </c>
      <c r="Q23" t="str">
        <f t="shared" si="1"/>
        <v>Low</v>
      </c>
      <c r="R23" t="str">
        <f>IF(OR(AND(Table1[[#This Row],[Diagnosis]]="Labour Complication",Table1[[#This Row],[Gender]]="M"), AND(Table1[[#This Row],[Diagnosis]]="Labour Complication",Table1[[#This Row],[Age]]&lt;15)),"Error","OK")</f>
        <v>OK</v>
      </c>
      <c r="S23" s="4">
        <f>Table1[[#This Row],[Bill_Amount]]+Table1[[#This Row],[Surgery_Cost]]</f>
        <v>56019</v>
      </c>
    </row>
    <row r="24" spans="1:19" x14ac:dyDescent="0.35">
      <c r="A24" s="19" t="s">
        <v>38</v>
      </c>
      <c r="B24" s="20" t="s">
        <v>538</v>
      </c>
      <c r="C24" s="21">
        <v>15</v>
      </c>
      <c r="D24" s="20" t="s">
        <v>1058</v>
      </c>
      <c r="E24" s="20" t="s">
        <v>1022</v>
      </c>
      <c r="F24" s="20" t="s">
        <v>1029</v>
      </c>
      <c r="G24" s="20" t="s">
        <v>1041</v>
      </c>
      <c r="H24" s="29">
        <v>45751</v>
      </c>
      <c r="I24" s="29">
        <v>45763</v>
      </c>
      <c r="J24" s="24">
        <v>228349</v>
      </c>
      <c r="K24" s="21">
        <v>2</v>
      </c>
      <c r="L24" s="21">
        <v>15</v>
      </c>
      <c r="M24" s="21">
        <v>3</v>
      </c>
      <c r="N24" s="24">
        <v>0</v>
      </c>
      <c r="O24" s="21">
        <v>12</v>
      </c>
      <c r="P24" t="str">
        <f t="shared" si="0"/>
        <v>Teenagers</v>
      </c>
      <c r="Q24" t="str">
        <f t="shared" si="1"/>
        <v>High</v>
      </c>
      <c r="R24" t="str">
        <f>IF(OR(AND(Table1[[#This Row],[Diagnosis]]="Labour Complication",Table1[[#This Row],[Gender]]="M"), AND(Table1[[#This Row],[Diagnosis]]="Labour Complication",Table1[[#This Row],[Age]]&lt;15)),"Error","OK")</f>
        <v>OK</v>
      </c>
      <c r="S24" s="4">
        <f>Table1[[#This Row],[Bill_Amount]]+Table1[[#This Row],[Surgery_Cost]]</f>
        <v>228349</v>
      </c>
    </row>
    <row r="25" spans="1:19" x14ac:dyDescent="0.35">
      <c r="A25" s="16" t="s">
        <v>39</v>
      </c>
      <c r="B25" s="17" t="s">
        <v>539</v>
      </c>
      <c r="C25" s="18">
        <v>34</v>
      </c>
      <c r="D25" s="17" t="s">
        <v>1057</v>
      </c>
      <c r="E25" s="17" t="s">
        <v>1017</v>
      </c>
      <c r="F25" s="17" t="s">
        <v>1024</v>
      </c>
      <c r="G25" s="17" t="s">
        <v>1042</v>
      </c>
      <c r="H25" s="30">
        <v>45791</v>
      </c>
      <c r="I25" s="30">
        <v>45800</v>
      </c>
      <c r="J25" s="25">
        <v>51701</v>
      </c>
      <c r="K25" s="18">
        <v>3</v>
      </c>
      <c r="L25" s="18">
        <v>12</v>
      </c>
      <c r="M25" s="18">
        <v>4</v>
      </c>
      <c r="N25" s="25">
        <v>0</v>
      </c>
      <c r="O25" s="18">
        <v>9</v>
      </c>
      <c r="P25" t="str">
        <f t="shared" si="0"/>
        <v>Adults</v>
      </c>
      <c r="Q25" t="str">
        <f t="shared" si="1"/>
        <v>Low</v>
      </c>
      <c r="R25" t="str">
        <f>IF(OR(AND(Table1[[#This Row],[Diagnosis]]="Labour Complication",Table1[[#This Row],[Gender]]="M"), AND(Table1[[#This Row],[Diagnosis]]="Labour Complication",Table1[[#This Row],[Age]]&lt;15)),"Error","OK")</f>
        <v>OK</v>
      </c>
      <c r="S25" s="4">
        <f>Table1[[#This Row],[Bill_Amount]]+Table1[[#This Row],[Surgery_Cost]]</f>
        <v>51701</v>
      </c>
    </row>
    <row r="26" spans="1:19" x14ac:dyDescent="0.35">
      <c r="A26" s="19" t="s">
        <v>40</v>
      </c>
      <c r="B26" s="20" t="s">
        <v>540</v>
      </c>
      <c r="C26" s="21">
        <v>82</v>
      </c>
      <c r="D26" s="20" t="s">
        <v>1057</v>
      </c>
      <c r="E26" s="20" t="s">
        <v>1022</v>
      </c>
      <c r="F26" s="20" t="s">
        <v>1029</v>
      </c>
      <c r="G26" s="20" t="s">
        <v>1039</v>
      </c>
      <c r="H26" s="29">
        <v>45746</v>
      </c>
      <c r="I26" s="29">
        <v>45758</v>
      </c>
      <c r="J26" s="24">
        <v>206471</v>
      </c>
      <c r="K26" s="21">
        <v>6</v>
      </c>
      <c r="L26" s="21">
        <v>18</v>
      </c>
      <c r="M26" s="21">
        <v>2</v>
      </c>
      <c r="N26" s="24">
        <v>0</v>
      </c>
      <c r="O26" s="21">
        <v>12</v>
      </c>
      <c r="P26" t="str">
        <f t="shared" si="0"/>
        <v>Older Adults</v>
      </c>
      <c r="Q26" t="str">
        <f t="shared" si="1"/>
        <v>High</v>
      </c>
      <c r="R26" t="str">
        <f>IF(OR(AND(Table1[[#This Row],[Diagnosis]]="Labour Complication",Table1[[#This Row],[Gender]]="M"), AND(Table1[[#This Row],[Diagnosis]]="Labour Complication",Table1[[#This Row],[Age]]&lt;15)),"Error","OK")</f>
        <v>OK</v>
      </c>
      <c r="S26" s="4">
        <f>Table1[[#This Row],[Bill_Amount]]+Table1[[#This Row],[Surgery_Cost]]</f>
        <v>206471</v>
      </c>
    </row>
    <row r="27" spans="1:19" x14ac:dyDescent="0.35">
      <c r="A27" s="16" t="s">
        <v>41</v>
      </c>
      <c r="B27" s="17" t="s">
        <v>541</v>
      </c>
      <c r="C27" s="18">
        <v>70</v>
      </c>
      <c r="D27" s="17" t="s">
        <v>1057</v>
      </c>
      <c r="E27" s="17" t="s">
        <v>1021</v>
      </c>
      <c r="F27" s="17" t="s">
        <v>1028</v>
      </c>
      <c r="G27" s="17" t="s">
        <v>1036</v>
      </c>
      <c r="H27" s="30">
        <v>45788</v>
      </c>
      <c r="I27" s="30">
        <v>45802</v>
      </c>
      <c r="J27" s="25">
        <v>134698</v>
      </c>
      <c r="K27" s="18">
        <v>8</v>
      </c>
      <c r="L27" s="18">
        <v>1</v>
      </c>
      <c r="M27" s="18">
        <v>1</v>
      </c>
      <c r="N27" s="25">
        <v>254310</v>
      </c>
      <c r="O27" s="18">
        <v>14</v>
      </c>
      <c r="P27" t="str">
        <f t="shared" si="0"/>
        <v>Older Adults</v>
      </c>
      <c r="Q27" t="str">
        <f t="shared" si="1"/>
        <v>Medium</v>
      </c>
      <c r="R27" t="str">
        <f>IF(OR(AND(Table1[[#This Row],[Diagnosis]]="Labour Complication",Table1[[#This Row],[Gender]]="M"), AND(Table1[[#This Row],[Diagnosis]]="Labour Complication",Table1[[#This Row],[Age]]&lt;15)),"Error","OK")</f>
        <v>OK</v>
      </c>
      <c r="S27" s="4">
        <f>Table1[[#This Row],[Bill_Amount]]+Table1[[#This Row],[Surgery_Cost]]</f>
        <v>389008</v>
      </c>
    </row>
    <row r="28" spans="1:19" x14ac:dyDescent="0.35">
      <c r="A28" s="19" t="s">
        <v>42</v>
      </c>
      <c r="B28" s="20" t="s">
        <v>542</v>
      </c>
      <c r="C28" s="21">
        <v>47</v>
      </c>
      <c r="D28" s="20" t="s">
        <v>1058</v>
      </c>
      <c r="E28" s="20" t="s">
        <v>1020</v>
      </c>
      <c r="F28" s="20" t="s">
        <v>1027</v>
      </c>
      <c r="G28" s="20" t="s">
        <v>1043</v>
      </c>
      <c r="H28" s="29">
        <v>45762</v>
      </c>
      <c r="I28" s="29">
        <v>45764</v>
      </c>
      <c r="J28" s="24">
        <v>108650</v>
      </c>
      <c r="K28" s="21">
        <v>3</v>
      </c>
      <c r="L28" s="21">
        <v>17</v>
      </c>
      <c r="M28" s="21">
        <v>3</v>
      </c>
      <c r="N28" s="24">
        <v>0</v>
      </c>
      <c r="O28" s="21">
        <v>2</v>
      </c>
      <c r="P28" t="str">
        <f t="shared" si="0"/>
        <v>Adults</v>
      </c>
      <c r="Q28" t="str">
        <f t="shared" si="1"/>
        <v>Medium</v>
      </c>
      <c r="R28" t="str">
        <f>IF(OR(AND(Table1[[#This Row],[Diagnosis]]="Labour Complication",Table1[[#This Row],[Gender]]="M"), AND(Table1[[#This Row],[Diagnosis]]="Labour Complication",Table1[[#This Row],[Age]]&lt;15)),"Error","OK")</f>
        <v>OK</v>
      </c>
      <c r="S28" s="4">
        <f>Table1[[#This Row],[Bill_Amount]]+Table1[[#This Row],[Surgery_Cost]]</f>
        <v>108650</v>
      </c>
    </row>
    <row r="29" spans="1:19" x14ac:dyDescent="0.35">
      <c r="A29" s="16" t="s">
        <v>43</v>
      </c>
      <c r="B29" s="17" t="s">
        <v>543</v>
      </c>
      <c r="C29" s="18">
        <v>11</v>
      </c>
      <c r="D29" s="17" t="s">
        <v>1057</v>
      </c>
      <c r="E29" s="17" t="s">
        <v>1018</v>
      </c>
      <c r="F29" s="17" t="s">
        <v>1025</v>
      </c>
      <c r="G29" s="17" t="s">
        <v>1032</v>
      </c>
      <c r="H29" s="30">
        <v>45788</v>
      </c>
      <c r="I29" s="30">
        <v>45793</v>
      </c>
      <c r="J29" s="25">
        <v>347458</v>
      </c>
      <c r="K29" s="18">
        <v>4</v>
      </c>
      <c r="L29" s="18">
        <v>5</v>
      </c>
      <c r="M29" s="18">
        <v>3</v>
      </c>
      <c r="N29" s="25">
        <v>0</v>
      </c>
      <c r="O29" s="18">
        <v>5</v>
      </c>
      <c r="P29" t="str">
        <f t="shared" si="0"/>
        <v>Children</v>
      </c>
      <c r="Q29" t="str">
        <f t="shared" si="1"/>
        <v>High</v>
      </c>
      <c r="R29" t="str">
        <f>IF(OR(AND(Table1[[#This Row],[Diagnosis]]="Labour Complication",Table1[[#This Row],[Gender]]="M"), AND(Table1[[#This Row],[Diagnosis]]="Labour Complication",Table1[[#This Row],[Age]]&lt;15)),"Error","OK")</f>
        <v>OK</v>
      </c>
      <c r="S29" s="4">
        <f>Table1[[#This Row],[Bill_Amount]]+Table1[[#This Row],[Surgery_Cost]]</f>
        <v>347458</v>
      </c>
    </row>
    <row r="30" spans="1:19" x14ac:dyDescent="0.35">
      <c r="A30" s="19" t="s">
        <v>44</v>
      </c>
      <c r="B30" s="20" t="s">
        <v>544</v>
      </c>
      <c r="C30" s="21">
        <v>69</v>
      </c>
      <c r="D30" s="20" t="s">
        <v>1057</v>
      </c>
      <c r="E30" s="20" t="s">
        <v>1020</v>
      </c>
      <c r="F30" s="20" t="s">
        <v>1027</v>
      </c>
      <c r="G30" s="20" t="s">
        <v>1043</v>
      </c>
      <c r="H30" s="29">
        <v>45757</v>
      </c>
      <c r="I30" s="29">
        <v>45772</v>
      </c>
      <c r="J30" s="24">
        <v>86287</v>
      </c>
      <c r="K30" s="21">
        <v>4</v>
      </c>
      <c r="L30" s="21">
        <v>5</v>
      </c>
      <c r="M30" s="21">
        <v>4</v>
      </c>
      <c r="N30" s="24">
        <v>0</v>
      </c>
      <c r="O30" s="21">
        <v>15</v>
      </c>
      <c r="P30" t="str">
        <f t="shared" si="0"/>
        <v>Older Adults</v>
      </c>
      <c r="Q30" t="str">
        <f t="shared" si="1"/>
        <v>Low</v>
      </c>
      <c r="R30" t="str">
        <f>IF(OR(AND(Table1[[#This Row],[Diagnosis]]="Labour Complication",Table1[[#This Row],[Gender]]="M"), AND(Table1[[#This Row],[Diagnosis]]="Labour Complication",Table1[[#This Row],[Age]]&lt;15)),"Error","OK")</f>
        <v>OK</v>
      </c>
      <c r="S30" s="4">
        <f>Table1[[#This Row],[Bill_Amount]]+Table1[[#This Row],[Surgery_Cost]]</f>
        <v>86287</v>
      </c>
    </row>
    <row r="31" spans="1:19" x14ac:dyDescent="0.35">
      <c r="A31" s="16" t="s">
        <v>45</v>
      </c>
      <c r="B31" s="17" t="s">
        <v>545</v>
      </c>
      <c r="C31" s="18">
        <v>22</v>
      </c>
      <c r="D31" s="17" t="s">
        <v>1058</v>
      </c>
      <c r="E31" s="17" t="s">
        <v>1016</v>
      </c>
      <c r="F31" s="17" t="s">
        <v>1023</v>
      </c>
      <c r="G31" s="17" t="s">
        <v>1040</v>
      </c>
      <c r="H31" s="30">
        <v>45797</v>
      </c>
      <c r="I31" s="30">
        <v>45806</v>
      </c>
      <c r="J31" s="25">
        <v>338255</v>
      </c>
      <c r="K31" s="18">
        <v>3</v>
      </c>
      <c r="L31" s="18">
        <v>15</v>
      </c>
      <c r="M31" s="18">
        <v>4</v>
      </c>
      <c r="N31" s="25">
        <v>0</v>
      </c>
      <c r="O31" s="18">
        <v>9</v>
      </c>
      <c r="P31" t="str">
        <f t="shared" si="0"/>
        <v>Adults</v>
      </c>
      <c r="Q31" t="str">
        <f t="shared" si="1"/>
        <v>High</v>
      </c>
      <c r="R31" t="str">
        <f>IF(OR(AND(Table1[[#This Row],[Diagnosis]]="Labour Complication",Table1[[#This Row],[Gender]]="M"), AND(Table1[[#This Row],[Diagnosis]]="Labour Complication",Table1[[#This Row],[Age]]&lt;15)),"Error","OK")</f>
        <v>OK</v>
      </c>
      <c r="S31" s="4">
        <f>Table1[[#This Row],[Bill_Amount]]+Table1[[#This Row],[Surgery_Cost]]</f>
        <v>338255</v>
      </c>
    </row>
    <row r="32" spans="1:19" x14ac:dyDescent="0.35">
      <c r="A32" s="16" t="s">
        <v>47</v>
      </c>
      <c r="B32" s="17" t="s">
        <v>547</v>
      </c>
      <c r="C32" s="18">
        <v>48</v>
      </c>
      <c r="D32" s="17" t="s">
        <v>1058</v>
      </c>
      <c r="E32" s="17" t="s">
        <v>1020</v>
      </c>
      <c r="F32" s="17" t="s">
        <v>1027</v>
      </c>
      <c r="G32" s="17" t="s">
        <v>1034</v>
      </c>
      <c r="H32" s="30">
        <v>45750</v>
      </c>
      <c r="I32" s="30">
        <v>45762</v>
      </c>
      <c r="J32" s="25">
        <v>390723</v>
      </c>
      <c r="K32" s="18">
        <v>2</v>
      </c>
      <c r="L32" s="18">
        <v>19</v>
      </c>
      <c r="M32" s="18">
        <v>4</v>
      </c>
      <c r="N32" s="25">
        <v>0</v>
      </c>
      <c r="O32" s="18">
        <v>12</v>
      </c>
      <c r="P32" t="str">
        <f t="shared" si="0"/>
        <v>Adults</v>
      </c>
      <c r="Q32" t="str">
        <f t="shared" si="1"/>
        <v>High</v>
      </c>
      <c r="R32" t="str">
        <f>IF(OR(AND(Table1[[#This Row],[Diagnosis]]="Labour Complication",Table1[[#This Row],[Gender]]="M"), AND(Table1[[#This Row],[Diagnosis]]="Labour Complication",Table1[[#This Row],[Age]]&lt;15)),"Error","OK")</f>
        <v>OK</v>
      </c>
      <c r="S32" s="4">
        <f>Table1[[#This Row],[Bill_Amount]]+Table1[[#This Row],[Surgery_Cost]]</f>
        <v>390723</v>
      </c>
    </row>
    <row r="33" spans="1:19" x14ac:dyDescent="0.35">
      <c r="A33" s="19" t="s">
        <v>48</v>
      </c>
      <c r="B33" s="20" t="s">
        <v>548</v>
      </c>
      <c r="C33" s="21">
        <v>9</v>
      </c>
      <c r="D33" s="20" t="s">
        <v>1058</v>
      </c>
      <c r="E33" s="20" t="s">
        <v>1018</v>
      </c>
      <c r="F33" s="20" t="s">
        <v>1025</v>
      </c>
      <c r="G33" s="20" t="s">
        <v>1044</v>
      </c>
      <c r="H33" s="29">
        <v>45776</v>
      </c>
      <c r="I33" s="29">
        <v>45781</v>
      </c>
      <c r="J33" s="24">
        <v>167806</v>
      </c>
      <c r="K33" s="21">
        <v>4</v>
      </c>
      <c r="L33" s="21">
        <v>2</v>
      </c>
      <c r="M33" s="21">
        <v>4</v>
      </c>
      <c r="N33" s="24">
        <v>0</v>
      </c>
      <c r="O33" s="21">
        <v>5</v>
      </c>
      <c r="P33" t="str">
        <f t="shared" si="0"/>
        <v>Children</v>
      </c>
      <c r="Q33" t="str">
        <f t="shared" si="1"/>
        <v>High</v>
      </c>
      <c r="R33" t="str">
        <f>IF(OR(AND(Table1[[#This Row],[Diagnosis]]="Labour Complication",Table1[[#This Row],[Gender]]="M"), AND(Table1[[#This Row],[Diagnosis]]="Labour Complication",Table1[[#This Row],[Age]]&lt;15)),"Error","OK")</f>
        <v>OK</v>
      </c>
      <c r="S33" s="4">
        <f>Table1[[#This Row],[Bill_Amount]]+Table1[[#This Row],[Surgery_Cost]]</f>
        <v>167806</v>
      </c>
    </row>
    <row r="34" spans="1:19" x14ac:dyDescent="0.35">
      <c r="A34" s="16" t="s">
        <v>49</v>
      </c>
      <c r="B34" s="17" t="s">
        <v>549</v>
      </c>
      <c r="C34" s="18">
        <v>76</v>
      </c>
      <c r="D34" s="17" t="s">
        <v>1057</v>
      </c>
      <c r="E34" s="17" t="s">
        <v>1019</v>
      </c>
      <c r="F34" s="17" t="s">
        <v>1026</v>
      </c>
      <c r="G34" s="17" t="s">
        <v>1033</v>
      </c>
      <c r="H34" s="30">
        <v>45780</v>
      </c>
      <c r="I34" s="30">
        <v>45790</v>
      </c>
      <c r="J34" s="25">
        <v>170646</v>
      </c>
      <c r="K34" s="18">
        <v>5</v>
      </c>
      <c r="L34" s="18">
        <v>9</v>
      </c>
      <c r="M34" s="18">
        <v>1</v>
      </c>
      <c r="N34" s="25">
        <v>0</v>
      </c>
      <c r="O34" s="18">
        <v>10</v>
      </c>
      <c r="P34" t="str">
        <f t="shared" si="0"/>
        <v>Older Adults</v>
      </c>
      <c r="Q34" t="str">
        <f t="shared" si="1"/>
        <v>High</v>
      </c>
      <c r="R34" t="str">
        <f>IF(OR(AND(Table1[[#This Row],[Diagnosis]]="Labour Complication",Table1[[#This Row],[Gender]]="M"), AND(Table1[[#This Row],[Diagnosis]]="Labour Complication",Table1[[#This Row],[Age]]&lt;15)),"Error","OK")</f>
        <v>OK</v>
      </c>
      <c r="S34" s="4">
        <f>Table1[[#This Row],[Bill_Amount]]+Table1[[#This Row],[Surgery_Cost]]</f>
        <v>170646</v>
      </c>
    </row>
    <row r="35" spans="1:19" x14ac:dyDescent="0.35">
      <c r="A35" s="19" t="s">
        <v>50</v>
      </c>
      <c r="B35" s="20" t="s">
        <v>550</v>
      </c>
      <c r="C35" s="21">
        <v>8</v>
      </c>
      <c r="D35" s="20" t="s">
        <v>1057</v>
      </c>
      <c r="E35" s="20" t="s">
        <v>1018</v>
      </c>
      <c r="F35" s="20" t="s">
        <v>1025</v>
      </c>
      <c r="G35" s="20" t="s">
        <v>1044</v>
      </c>
      <c r="H35" s="29">
        <v>45793</v>
      </c>
      <c r="I35" s="29">
        <v>45806</v>
      </c>
      <c r="J35" s="24">
        <v>380879</v>
      </c>
      <c r="K35" s="21">
        <v>8</v>
      </c>
      <c r="L35" s="21">
        <v>10</v>
      </c>
      <c r="M35" s="21">
        <v>4</v>
      </c>
      <c r="N35" s="24">
        <v>0</v>
      </c>
      <c r="O35" s="21">
        <v>13</v>
      </c>
      <c r="P35" t="str">
        <f t="shared" si="0"/>
        <v>Children</v>
      </c>
      <c r="Q35" t="str">
        <f t="shared" si="1"/>
        <v>High</v>
      </c>
      <c r="R35" t="str">
        <f>IF(OR(AND(Table1[[#This Row],[Diagnosis]]="Labour Complication",Table1[[#This Row],[Gender]]="M"), AND(Table1[[#This Row],[Diagnosis]]="Labour Complication",Table1[[#This Row],[Age]]&lt;15)),"Error","OK")</f>
        <v>OK</v>
      </c>
      <c r="S35" s="4">
        <f>Table1[[#This Row],[Bill_Amount]]+Table1[[#This Row],[Surgery_Cost]]</f>
        <v>380879</v>
      </c>
    </row>
    <row r="36" spans="1:19" x14ac:dyDescent="0.35">
      <c r="A36" s="16" t="s">
        <v>51</v>
      </c>
      <c r="B36" s="17" t="s">
        <v>551</v>
      </c>
      <c r="C36" s="18">
        <v>10</v>
      </c>
      <c r="D36" s="17" t="s">
        <v>1057</v>
      </c>
      <c r="E36" s="17" t="s">
        <v>1018</v>
      </c>
      <c r="F36" s="17" t="s">
        <v>1025</v>
      </c>
      <c r="G36" s="17" t="s">
        <v>1037</v>
      </c>
      <c r="H36" s="30">
        <v>45794</v>
      </c>
      <c r="I36" s="30">
        <v>45809</v>
      </c>
      <c r="J36" s="25">
        <v>223239</v>
      </c>
      <c r="K36" s="18">
        <v>1</v>
      </c>
      <c r="L36" s="18">
        <v>7</v>
      </c>
      <c r="M36" s="18">
        <v>2</v>
      </c>
      <c r="N36" s="25">
        <v>0</v>
      </c>
      <c r="O36" s="18">
        <v>15</v>
      </c>
      <c r="P36" t="str">
        <f t="shared" si="0"/>
        <v>Children</v>
      </c>
      <c r="Q36" t="str">
        <f t="shared" si="1"/>
        <v>High</v>
      </c>
      <c r="R36" t="str">
        <f>IF(OR(AND(Table1[[#This Row],[Diagnosis]]="Labour Complication",Table1[[#This Row],[Gender]]="M"), AND(Table1[[#This Row],[Diagnosis]]="Labour Complication",Table1[[#This Row],[Age]]&lt;15)),"Error","OK")</f>
        <v>OK</v>
      </c>
      <c r="S36" s="4">
        <f>Table1[[#This Row],[Bill_Amount]]+Table1[[#This Row],[Surgery_Cost]]</f>
        <v>223239</v>
      </c>
    </row>
    <row r="37" spans="1:19" x14ac:dyDescent="0.35">
      <c r="A37" s="19" t="s">
        <v>52</v>
      </c>
      <c r="B37" s="20" t="s">
        <v>552</v>
      </c>
      <c r="C37" s="21">
        <v>70</v>
      </c>
      <c r="D37" s="20" t="s">
        <v>1057</v>
      </c>
      <c r="E37" s="20" t="s">
        <v>1016</v>
      </c>
      <c r="F37" s="20" t="s">
        <v>1023</v>
      </c>
      <c r="G37" s="20" t="s">
        <v>1040</v>
      </c>
      <c r="H37" s="29">
        <v>45762</v>
      </c>
      <c r="I37" s="29">
        <v>45771</v>
      </c>
      <c r="J37" s="24">
        <v>162321</v>
      </c>
      <c r="K37" s="21">
        <v>5</v>
      </c>
      <c r="L37" s="21">
        <v>11</v>
      </c>
      <c r="M37" s="21">
        <v>2</v>
      </c>
      <c r="N37" s="24">
        <v>0</v>
      </c>
      <c r="O37" s="21">
        <v>9</v>
      </c>
      <c r="P37" t="str">
        <f t="shared" si="0"/>
        <v>Older Adults</v>
      </c>
      <c r="Q37" t="str">
        <f t="shared" si="1"/>
        <v>High</v>
      </c>
      <c r="R37" t="str">
        <f>IF(OR(AND(Table1[[#This Row],[Diagnosis]]="Labour Complication",Table1[[#This Row],[Gender]]="M"), AND(Table1[[#This Row],[Diagnosis]]="Labour Complication",Table1[[#This Row],[Age]]&lt;15)),"Error","OK")</f>
        <v>OK</v>
      </c>
      <c r="S37" s="4">
        <f>Table1[[#This Row],[Bill_Amount]]+Table1[[#This Row],[Surgery_Cost]]</f>
        <v>162321</v>
      </c>
    </row>
    <row r="38" spans="1:19" x14ac:dyDescent="0.35">
      <c r="A38" s="16" t="s">
        <v>53</v>
      </c>
      <c r="B38" s="17" t="s">
        <v>553</v>
      </c>
      <c r="C38" s="18">
        <v>53</v>
      </c>
      <c r="D38" s="17" t="s">
        <v>1057</v>
      </c>
      <c r="E38" s="17" t="s">
        <v>1017</v>
      </c>
      <c r="F38" s="17" t="s">
        <v>1024</v>
      </c>
      <c r="G38" s="17" t="s">
        <v>1042</v>
      </c>
      <c r="H38" s="30">
        <v>45755</v>
      </c>
      <c r="I38" s="30">
        <v>45769</v>
      </c>
      <c r="J38" s="25">
        <v>297974</v>
      </c>
      <c r="K38" s="18">
        <v>6</v>
      </c>
      <c r="L38" s="18">
        <v>19</v>
      </c>
      <c r="M38" s="18">
        <v>3</v>
      </c>
      <c r="N38" s="25">
        <v>0</v>
      </c>
      <c r="O38" s="18">
        <v>14</v>
      </c>
      <c r="P38" t="str">
        <f t="shared" si="0"/>
        <v>Adults</v>
      </c>
      <c r="Q38" t="str">
        <f t="shared" si="1"/>
        <v>High</v>
      </c>
      <c r="R38" t="str">
        <f>IF(OR(AND(Table1[[#This Row],[Diagnosis]]="Labour Complication",Table1[[#This Row],[Gender]]="M"), AND(Table1[[#This Row],[Diagnosis]]="Labour Complication",Table1[[#This Row],[Age]]&lt;15)),"Error","OK")</f>
        <v>OK</v>
      </c>
      <c r="S38" s="4">
        <f>Table1[[#This Row],[Bill_Amount]]+Table1[[#This Row],[Surgery_Cost]]</f>
        <v>297974</v>
      </c>
    </row>
    <row r="39" spans="1:19" x14ac:dyDescent="0.35">
      <c r="A39" s="19" t="s">
        <v>54</v>
      </c>
      <c r="B39" s="20" t="s">
        <v>554</v>
      </c>
      <c r="C39" s="21">
        <v>46</v>
      </c>
      <c r="D39" s="20" t="s">
        <v>1058</v>
      </c>
      <c r="E39" s="20" t="s">
        <v>1018</v>
      </c>
      <c r="F39" s="20" t="s">
        <v>1025</v>
      </c>
      <c r="G39" s="20" t="s">
        <v>1037</v>
      </c>
      <c r="H39" s="29">
        <v>45767</v>
      </c>
      <c r="I39" s="29">
        <v>45779</v>
      </c>
      <c r="J39" s="24">
        <v>275994</v>
      </c>
      <c r="K39" s="21">
        <v>3</v>
      </c>
      <c r="L39" s="21">
        <v>12</v>
      </c>
      <c r="M39" s="21">
        <v>3</v>
      </c>
      <c r="N39" s="24">
        <v>0</v>
      </c>
      <c r="O39" s="21">
        <v>12</v>
      </c>
      <c r="P39" t="str">
        <f t="shared" si="0"/>
        <v>Adults</v>
      </c>
      <c r="Q39" t="str">
        <f t="shared" si="1"/>
        <v>High</v>
      </c>
      <c r="R39" t="str">
        <f>IF(OR(AND(Table1[[#This Row],[Diagnosis]]="Labour Complication",Table1[[#This Row],[Gender]]="M"), AND(Table1[[#This Row],[Diagnosis]]="Labour Complication",Table1[[#This Row],[Age]]&lt;15)),"Error","OK")</f>
        <v>OK</v>
      </c>
      <c r="S39" s="4">
        <f>Table1[[#This Row],[Bill_Amount]]+Table1[[#This Row],[Surgery_Cost]]</f>
        <v>275994</v>
      </c>
    </row>
    <row r="40" spans="1:19" x14ac:dyDescent="0.35">
      <c r="A40" s="16" t="s">
        <v>55</v>
      </c>
      <c r="B40" s="17" t="s">
        <v>555</v>
      </c>
      <c r="C40" s="18">
        <v>7</v>
      </c>
      <c r="D40" s="17" t="s">
        <v>1057</v>
      </c>
      <c r="E40" s="17" t="s">
        <v>1020</v>
      </c>
      <c r="F40" s="17" t="s">
        <v>1027</v>
      </c>
      <c r="G40" s="17" t="s">
        <v>1043</v>
      </c>
      <c r="H40" s="30">
        <v>45789</v>
      </c>
      <c r="I40" s="30">
        <v>45804</v>
      </c>
      <c r="J40" s="25">
        <v>432245</v>
      </c>
      <c r="K40" s="18">
        <v>7</v>
      </c>
      <c r="L40" s="18">
        <v>6</v>
      </c>
      <c r="M40" s="18">
        <v>1</v>
      </c>
      <c r="N40" s="25">
        <v>0</v>
      </c>
      <c r="O40" s="18">
        <v>15</v>
      </c>
      <c r="P40" t="str">
        <f t="shared" si="0"/>
        <v>Children</v>
      </c>
      <c r="Q40" t="str">
        <f t="shared" si="1"/>
        <v>High</v>
      </c>
      <c r="R40" t="str">
        <f>IF(OR(AND(Table1[[#This Row],[Diagnosis]]="Labour Complication",Table1[[#This Row],[Gender]]="M"), AND(Table1[[#This Row],[Diagnosis]]="Labour Complication",Table1[[#This Row],[Age]]&lt;15)),"Error","OK")</f>
        <v>OK</v>
      </c>
      <c r="S40" s="4">
        <f>Table1[[#This Row],[Bill_Amount]]+Table1[[#This Row],[Surgery_Cost]]</f>
        <v>432245</v>
      </c>
    </row>
    <row r="41" spans="1:19" x14ac:dyDescent="0.35">
      <c r="A41" s="19" t="s">
        <v>56</v>
      </c>
      <c r="B41" s="20" t="s">
        <v>556</v>
      </c>
      <c r="C41" s="21">
        <v>14</v>
      </c>
      <c r="D41" s="20" t="s">
        <v>1057</v>
      </c>
      <c r="E41" s="20" t="s">
        <v>1020</v>
      </c>
      <c r="F41" s="20" t="s">
        <v>1027</v>
      </c>
      <c r="G41" s="20" t="s">
        <v>1043</v>
      </c>
      <c r="H41" s="29">
        <v>45795</v>
      </c>
      <c r="I41" s="29">
        <v>45808</v>
      </c>
      <c r="J41" s="24">
        <v>227892</v>
      </c>
      <c r="K41" s="21">
        <v>4</v>
      </c>
      <c r="L41" s="21">
        <v>2</v>
      </c>
      <c r="M41" s="21">
        <v>3</v>
      </c>
      <c r="N41" s="24">
        <v>0</v>
      </c>
      <c r="O41" s="21">
        <v>13</v>
      </c>
      <c r="P41" t="str">
        <f t="shared" si="0"/>
        <v>Teenagers</v>
      </c>
      <c r="Q41" t="str">
        <f t="shared" si="1"/>
        <v>High</v>
      </c>
      <c r="R41" t="str">
        <f>IF(OR(AND(Table1[[#This Row],[Diagnosis]]="Labour Complication",Table1[[#This Row],[Gender]]="M"), AND(Table1[[#This Row],[Diagnosis]]="Labour Complication",Table1[[#This Row],[Age]]&lt;15)),"Error","OK")</f>
        <v>OK</v>
      </c>
      <c r="S41" s="4">
        <f>Table1[[#This Row],[Bill_Amount]]+Table1[[#This Row],[Surgery_Cost]]</f>
        <v>227892</v>
      </c>
    </row>
    <row r="42" spans="1:19" x14ac:dyDescent="0.35">
      <c r="A42" s="16" t="s">
        <v>57</v>
      </c>
      <c r="B42" s="17" t="s">
        <v>557</v>
      </c>
      <c r="C42" s="18">
        <v>18</v>
      </c>
      <c r="D42" s="17" t="s">
        <v>1058</v>
      </c>
      <c r="E42" s="17" t="s">
        <v>1017</v>
      </c>
      <c r="F42" s="17" t="s">
        <v>1024</v>
      </c>
      <c r="G42" s="17" t="s">
        <v>1042</v>
      </c>
      <c r="H42" s="30">
        <v>45780</v>
      </c>
      <c r="I42" s="30">
        <v>45790</v>
      </c>
      <c r="J42" s="25">
        <v>285202</v>
      </c>
      <c r="K42" s="18">
        <v>9</v>
      </c>
      <c r="L42" s="18">
        <v>8</v>
      </c>
      <c r="M42" s="18">
        <v>3</v>
      </c>
      <c r="N42" s="25">
        <v>0</v>
      </c>
      <c r="O42" s="18">
        <v>10</v>
      </c>
      <c r="P42" t="str">
        <f t="shared" si="0"/>
        <v>Teenagers</v>
      </c>
      <c r="Q42" t="str">
        <f t="shared" si="1"/>
        <v>High</v>
      </c>
      <c r="R42" t="str">
        <f>IF(OR(AND(Table1[[#This Row],[Diagnosis]]="Labour Complication",Table1[[#This Row],[Gender]]="M"), AND(Table1[[#This Row],[Diagnosis]]="Labour Complication",Table1[[#This Row],[Age]]&lt;15)),"Error","OK")</f>
        <v>OK</v>
      </c>
      <c r="S42" s="4">
        <f>Table1[[#This Row],[Bill_Amount]]+Table1[[#This Row],[Surgery_Cost]]</f>
        <v>285202</v>
      </c>
    </row>
    <row r="43" spans="1:19" x14ac:dyDescent="0.35">
      <c r="A43" s="19" t="s">
        <v>58</v>
      </c>
      <c r="B43" s="20" t="s">
        <v>558</v>
      </c>
      <c r="C43" s="21">
        <v>10</v>
      </c>
      <c r="D43" s="20" t="s">
        <v>1058</v>
      </c>
      <c r="E43" s="20" t="s">
        <v>1021</v>
      </c>
      <c r="F43" s="20" t="s">
        <v>1028</v>
      </c>
      <c r="G43" s="20" t="s">
        <v>1035</v>
      </c>
      <c r="H43" s="29">
        <v>45772</v>
      </c>
      <c r="I43" s="29">
        <v>45781</v>
      </c>
      <c r="J43" s="24">
        <v>180970</v>
      </c>
      <c r="K43" s="21">
        <v>3</v>
      </c>
      <c r="L43" s="21">
        <v>17</v>
      </c>
      <c r="M43" s="21">
        <v>1</v>
      </c>
      <c r="N43" s="24">
        <v>288935</v>
      </c>
      <c r="O43" s="21">
        <v>9</v>
      </c>
      <c r="P43" t="str">
        <f t="shared" si="0"/>
        <v>Children</v>
      </c>
      <c r="Q43" t="str">
        <f t="shared" si="1"/>
        <v>High</v>
      </c>
      <c r="R43" t="str">
        <f>IF(OR(AND(Table1[[#This Row],[Diagnosis]]="Labour Complication",Table1[[#This Row],[Gender]]="M"), AND(Table1[[#This Row],[Diagnosis]]="Labour Complication",Table1[[#This Row],[Age]]&lt;15)),"Error","OK")</f>
        <v>OK</v>
      </c>
      <c r="S43" s="4">
        <f>Table1[[#This Row],[Bill_Amount]]+Table1[[#This Row],[Surgery_Cost]]</f>
        <v>469905</v>
      </c>
    </row>
    <row r="44" spans="1:19" x14ac:dyDescent="0.35">
      <c r="A44" s="16" t="s">
        <v>59</v>
      </c>
      <c r="B44" s="17" t="s">
        <v>559</v>
      </c>
      <c r="C44" s="18">
        <v>2</v>
      </c>
      <c r="D44" s="17" t="s">
        <v>1057</v>
      </c>
      <c r="E44" s="17" t="s">
        <v>1018</v>
      </c>
      <c r="F44" s="17" t="s">
        <v>1025</v>
      </c>
      <c r="G44" s="17" t="s">
        <v>1044</v>
      </c>
      <c r="H44" s="30">
        <v>45750</v>
      </c>
      <c r="I44" s="30">
        <v>45762</v>
      </c>
      <c r="J44" s="25">
        <v>333423</v>
      </c>
      <c r="K44" s="18">
        <v>2</v>
      </c>
      <c r="L44" s="18">
        <v>5</v>
      </c>
      <c r="M44" s="18">
        <v>4</v>
      </c>
      <c r="N44" s="25">
        <v>0</v>
      </c>
      <c r="O44" s="18">
        <v>12</v>
      </c>
      <c r="P44" t="str">
        <f t="shared" si="0"/>
        <v>Children</v>
      </c>
      <c r="Q44" t="str">
        <f t="shared" si="1"/>
        <v>High</v>
      </c>
      <c r="R44" t="str">
        <f>IF(OR(AND(Table1[[#This Row],[Diagnosis]]="Labour Complication",Table1[[#This Row],[Gender]]="M"), AND(Table1[[#This Row],[Diagnosis]]="Labour Complication",Table1[[#This Row],[Age]]&lt;15)),"Error","OK")</f>
        <v>OK</v>
      </c>
      <c r="S44" s="4">
        <f>Table1[[#This Row],[Bill_Amount]]+Table1[[#This Row],[Surgery_Cost]]</f>
        <v>333423</v>
      </c>
    </row>
    <row r="45" spans="1:19" x14ac:dyDescent="0.35">
      <c r="A45" s="16" t="s">
        <v>61</v>
      </c>
      <c r="B45" s="17" t="s">
        <v>561</v>
      </c>
      <c r="C45" s="18">
        <v>1</v>
      </c>
      <c r="D45" s="17" t="s">
        <v>1058</v>
      </c>
      <c r="E45" s="17" t="s">
        <v>1018</v>
      </c>
      <c r="F45" s="17" t="s">
        <v>1025</v>
      </c>
      <c r="G45" s="17" t="s">
        <v>1037</v>
      </c>
      <c r="H45" s="30">
        <v>45760</v>
      </c>
      <c r="I45" s="30">
        <v>45764</v>
      </c>
      <c r="J45" s="25">
        <v>248691</v>
      </c>
      <c r="K45" s="18">
        <v>8</v>
      </c>
      <c r="L45" s="18">
        <v>7</v>
      </c>
      <c r="M45" s="18">
        <v>4</v>
      </c>
      <c r="N45" s="25">
        <v>0</v>
      </c>
      <c r="O45" s="18">
        <v>4</v>
      </c>
      <c r="P45" t="str">
        <f t="shared" si="0"/>
        <v>Children</v>
      </c>
      <c r="Q45" t="str">
        <f t="shared" si="1"/>
        <v>High</v>
      </c>
      <c r="R45" t="str">
        <f>IF(OR(AND(Table1[[#This Row],[Diagnosis]]="Labour Complication",Table1[[#This Row],[Gender]]="M"), AND(Table1[[#This Row],[Diagnosis]]="Labour Complication",Table1[[#This Row],[Age]]&lt;15)),"Error","OK")</f>
        <v>OK</v>
      </c>
      <c r="S45" s="4">
        <f>Table1[[#This Row],[Bill_Amount]]+Table1[[#This Row],[Surgery_Cost]]</f>
        <v>248691</v>
      </c>
    </row>
    <row r="46" spans="1:19" x14ac:dyDescent="0.35">
      <c r="A46" s="19" t="s">
        <v>62</v>
      </c>
      <c r="B46" s="20" t="s">
        <v>562</v>
      </c>
      <c r="C46" s="21">
        <v>37</v>
      </c>
      <c r="D46" s="20" t="s">
        <v>1058</v>
      </c>
      <c r="E46" s="20" t="s">
        <v>1022</v>
      </c>
      <c r="F46" s="20" t="s">
        <v>1029</v>
      </c>
      <c r="G46" s="20" t="s">
        <v>1041</v>
      </c>
      <c r="H46" s="29">
        <v>45767</v>
      </c>
      <c r="I46" s="29">
        <v>45781</v>
      </c>
      <c r="J46" s="24">
        <v>288555</v>
      </c>
      <c r="K46" s="21">
        <v>9</v>
      </c>
      <c r="L46" s="21">
        <v>17</v>
      </c>
      <c r="M46" s="21">
        <v>1</v>
      </c>
      <c r="N46" s="24">
        <v>0</v>
      </c>
      <c r="O46" s="21">
        <v>14</v>
      </c>
      <c r="P46" t="str">
        <f t="shared" si="0"/>
        <v>Adults</v>
      </c>
      <c r="Q46" t="str">
        <f t="shared" si="1"/>
        <v>High</v>
      </c>
      <c r="R46" t="str">
        <f>IF(OR(AND(Table1[[#This Row],[Diagnosis]]="Labour Complication",Table1[[#This Row],[Gender]]="M"), AND(Table1[[#This Row],[Diagnosis]]="Labour Complication",Table1[[#This Row],[Age]]&lt;15)),"Error","OK")</f>
        <v>OK</v>
      </c>
      <c r="S46" s="4">
        <f>Table1[[#This Row],[Bill_Amount]]+Table1[[#This Row],[Surgery_Cost]]</f>
        <v>288555</v>
      </c>
    </row>
    <row r="47" spans="1:19" x14ac:dyDescent="0.35">
      <c r="A47" s="16" t="s">
        <v>63</v>
      </c>
      <c r="B47" s="17" t="s">
        <v>563</v>
      </c>
      <c r="C47" s="18">
        <v>28</v>
      </c>
      <c r="D47" s="17" t="s">
        <v>1057</v>
      </c>
      <c r="E47" s="17" t="s">
        <v>1017</v>
      </c>
      <c r="F47" s="17" t="s">
        <v>1024</v>
      </c>
      <c r="G47" s="17" t="s">
        <v>1042</v>
      </c>
      <c r="H47" s="30">
        <v>45756</v>
      </c>
      <c r="I47" s="30">
        <v>45761</v>
      </c>
      <c r="J47" s="25">
        <v>205560</v>
      </c>
      <c r="K47" s="18">
        <v>7</v>
      </c>
      <c r="L47" s="18">
        <v>4</v>
      </c>
      <c r="M47" s="18">
        <v>3</v>
      </c>
      <c r="N47" s="25">
        <v>0</v>
      </c>
      <c r="O47" s="18">
        <v>5</v>
      </c>
      <c r="P47" t="str">
        <f t="shared" si="0"/>
        <v>Adults</v>
      </c>
      <c r="Q47" t="str">
        <f t="shared" si="1"/>
        <v>High</v>
      </c>
      <c r="R47" t="str">
        <f>IF(OR(AND(Table1[[#This Row],[Diagnosis]]="Labour Complication",Table1[[#This Row],[Gender]]="M"), AND(Table1[[#This Row],[Diagnosis]]="Labour Complication",Table1[[#This Row],[Age]]&lt;15)),"Error","OK")</f>
        <v>OK</v>
      </c>
      <c r="S47" s="4">
        <f>Table1[[#This Row],[Bill_Amount]]+Table1[[#This Row],[Surgery_Cost]]</f>
        <v>205560</v>
      </c>
    </row>
    <row r="48" spans="1:19" x14ac:dyDescent="0.35">
      <c r="A48" s="19" t="s">
        <v>64</v>
      </c>
      <c r="B48" s="20" t="s">
        <v>564</v>
      </c>
      <c r="C48" s="21">
        <v>7</v>
      </c>
      <c r="D48" s="20" t="s">
        <v>1058</v>
      </c>
      <c r="E48" s="20" t="s">
        <v>1016</v>
      </c>
      <c r="F48" s="20" t="s">
        <v>1023</v>
      </c>
      <c r="G48" s="20" t="s">
        <v>1030</v>
      </c>
      <c r="H48" s="29">
        <v>45791</v>
      </c>
      <c r="I48" s="29">
        <v>45798</v>
      </c>
      <c r="J48" s="24">
        <v>79971</v>
      </c>
      <c r="K48" s="21">
        <v>6</v>
      </c>
      <c r="L48" s="21">
        <v>9</v>
      </c>
      <c r="M48" s="21">
        <v>2</v>
      </c>
      <c r="N48" s="24">
        <v>0</v>
      </c>
      <c r="O48" s="21">
        <v>7</v>
      </c>
      <c r="P48" t="str">
        <f t="shared" si="0"/>
        <v>Children</v>
      </c>
      <c r="Q48" t="str">
        <f t="shared" si="1"/>
        <v>Low</v>
      </c>
      <c r="R48" t="str">
        <f>IF(OR(AND(Table1[[#This Row],[Diagnosis]]="Labour Complication",Table1[[#This Row],[Gender]]="M"), AND(Table1[[#This Row],[Diagnosis]]="Labour Complication",Table1[[#This Row],[Age]]&lt;15)),"Error","OK")</f>
        <v>OK</v>
      </c>
      <c r="S48" s="4">
        <f>Table1[[#This Row],[Bill_Amount]]+Table1[[#This Row],[Surgery_Cost]]</f>
        <v>79971</v>
      </c>
    </row>
    <row r="49" spans="1:19" x14ac:dyDescent="0.35">
      <c r="A49" s="16" t="s">
        <v>65</v>
      </c>
      <c r="B49" s="17" t="s">
        <v>565</v>
      </c>
      <c r="C49" s="18">
        <v>24</v>
      </c>
      <c r="D49" s="17" t="s">
        <v>1057</v>
      </c>
      <c r="E49" s="17" t="s">
        <v>1018</v>
      </c>
      <c r="F49" s="17" t="s">
        <v>1025</v>
      </c>
      <c r="G49" s="17" t="s">
        <v>1032</v>
      </c>
      <c r="H49" s="30">
        <v>45794</v>
      </c>
      <c r="I49" s="30">
        <v>45804</v>
      </c>
      <c r="J49" s="25">
        <v>92001</v>
      </c>
      <c r="K49" s="18">
        <v>4</v>
      </c>
      <c r="L49" s="18">
        <v>7</v>
      </c>
      <c r="M49" s="18">
        <v>1</v>
      </c>
      <c r="N49" s="25">
        <v>0</v>
      </c>
      <c r="O49" s="18">
        <v>10</v>
      </c>
      <c r="P49" t="str">
        <f t="shared" si="0"/>
        <v>Adults</v>
      </c>
      <c r="Q49" t="str">
        <f t="shared" si="1"/>
        <v>Low</v>
      </c>
      <c r="R49" t="str">
        <f>IF(OR(AND(Table1[[#This Row],[Diagnosis]]="Labour Complication",Table1[[#This Row],[Gender]]="M"), AND(Table1[[#This Row],[Diagnosis]]="Labour Complication",Table1[[#This Row],[Age]]&lt;15)),"Error","OK")</f>
        <v>OK</v>
      </c>
      <c r="S49" s="4">
        <f>Table1[[#This Row],[Bill_Amount]]+Table1[[#This Row],[Surgery_Cost]]</f>
        <v>92001</v>
      </c>
    </row>
    <row r="50" spans="1:19" x14ac:dyDescent="0.35">
      <c r="A50" s="19" t="s">
        <v>66</v>
      </c>
      <c r="B50" s="20" t="s">
        <v>566</v>
      </c>
      <c r="C50" s="21">
        <v>52</v>
      </c>
      <c r="D50" s="20" t="s">
        <v>1057</v>
      </c>
      <c r="E50" s="20" t="s">
        <v>1018</v>
      </c>
      <c r="F50" s="20" t="s">
        <v>1025</v>
      </c>
      <c r="G50" s="20" t="s">
        <v>1032</v>
      </c>
      <c r="H50" s="29">
        <v>45777</v>
      </c>
      <c r="I50" s="29">
        <v>45789</v>
      </c>
      <c r="J50" s="24">
        <v>173314</v>
      </c>
      <c r="K50" s="21">
        <v>9</v>
      </c>
      <c r="L50" s="21">
        <v>1</v>
      </c>
      <c r="M50" s="21">
        <v>1</v>
      </c>
      <c r="N50" s="24">
        <v>0</v>
      </c>
      <c r="O50" s="21">
        <v>12</v>
      </c>
      <c r="P50" t="str">
        <f t="shared" si="0"/>
        <v>Adults</v>
      </c>
      <c r="Q50" t="str">
        <f t="shared" si="1"/>
        <v>High</v>
      </c>
      <c r="R50" t="str">
        <f>IF(OR(AND(Table1[[#This Row],[Diagnosis]]="Labour Complication",Table1[[#This Row],[Gender]]="M"), AND(Table1[[#This Row],[Diagnosis]]="Labour Complication",Table1[[#This Row],[Age]]&lt;15)),"Error","OK")</f>
        <v>OK</v>
      </c>
      <c r="S50" s="4">
        <f>Table1[[#This Row],[Bill_Amount]]+Table1[[#This Row],[Surgery_Cost]]</f>
        <v>173314</v>
      </c>
    </row>
    <row r="51" spans="1:19" x14ac:dyDescent="0.35">
      <c r="A51" s="19" t="s">
        <v>68</v>
      </c>
      <c r="B51" s="20" t="s">
        <v>568</v>
      </c>
      <c r="C51" s="21">
        <v>67</v>
      </c>
      <c r="D51" s="20" t="s">
        <v>1058</v>
      </c>
      <c r="E51" s="20" t="s">
        <v>1016</v>
      </c>
      <c r="F51" s="20" t="s">
        <v>1023</v>
      </c>
      <c r="G51" s="20" t="s">
        <v>1040</v>
      </c>
      <c r="H51" s="29">
        <v>45791</v>
      </c>
      <c r="I51" s="29">
        <v>45802</v>
      </c>
      <c r="J51" s="24">
        <v>346341</v>
      </c>
      <c r="K51" s="21">
        <v>5</v>
      </c>
      <c r="L51" s="21">
        <v>5</v>
      </c>
      <c r="M51" s="21">
        <v>3</v>
      </c>
      <c r="N51" s="24">
        <v>0</v>
      </c>
      <c r="O51" s="21">
        <v>11</v>
      </c>
      <c r="P51" t="str">
        <f t="shared" si="0"/>
        <v>Older Adults</v>
      </c>
      <c r="Q51" t="str">
        <f t="shared" si="1"/>
        <v>High</v>
      </c>
      <c r="R51" t="str">
        <f>IF(OR(AND(Table1[[#This Row],[Diagnosis]]="Labour Complication",Table1[[#This Row],[Gender]]="M"), AND(Table1[[#This Row],[Diagnosis]]="Labour Complication",Table1[[#This Row],[Age]]&lt;15)),"Error","OK")</f>
        <v>OK</v>
      </c>
      <c r="S51" s="4">
        <f>Table1[[#This Row],[Bill_Amount]]+Table1[[#This Row],[Surgery_Cost]]</f>
        <v>346341</v>
      </c>
    </row>
    <row r="52" spans="1:19" x14ac:dyDescent="0.35">
      <c r="A52" s="19" t="s">
        <v>70</v>
      </c>
      <c r="B52" s="20" t="s">
        <v>570</v>
      </c>
      <c r="C52" s="21">
        <v>83</v>
      </c>
      <c r="D52" s="20" t="s">
        <v>1058</v>
      </c>
      <c r="E52" s="20" t="s">
        <v>1020</v>
      </c>
      <c r="F52" s="20" t="s">
        <v>1027</v>
      </c>
      <c r="G52" s="20" t="s">
        <v>1034</v>
      </c>
      <c r="H52" s="29">
        <v>45753</v>
      </c>
      <c r="I52" s="29">
        <v>45757</v>
      </c>
      <c r="J52" s="24">
        <v>402159</v>
      </c>
      <c r="K52" s="21">
        <v>4</v>
      </c>
      <c r="L52" s="21">
        <v>2</v>
      </c>
      <c r="M52" s="21">
        <v>3</v>
      </c>
      <c r="N52" s="24">
        <v>0</v>
      </c>
      <c r="O52" s="21">
        <v>4</v>
      </c>
      <c r="P52" t="str">
        <f t="shared" si="0"/>
        <v>Older Adults</v>
      </c>
      <c r="Q52" t="str">
        <f t="shared" si="1"/>
        <v>High</v>
      </c>
      <c r="R52" t="str">
        <f>IF(OR(AND(Table1[[#This Row],[Diagnosis]]="Labour Complication",Table1[[#This Row],[Gender]]="M"), AND(Table1[[#This Row],[Diagnosis]]="Labour Complication",Table1[[#This Row],[Age]]&lt;15)),"Error","OK")</f>
        <v>OK</v>
      </c>
      <c r="S52" s="4">
        <f>Table1[[#This Row],[Bill_Amount]]+Table1[[#This Row],[Surgery_Cost]]</f>
        <v>402159</v>
      </c>
    </row>
    <row r="53" spans="1:19" x14ac:dyDescent="0.35">
      <c r="A53" s="16" t="s">
        <v>71</v>
      </c>
      <c r="B53" s="17" t="s">
        <v>571</v>
      </c>
      <c r="C53" s="18">
        <v>2</v>
      </c>
      <c r="D53" s="17" t="s">
        <v>1058</v>
      </c>
      <c r="E53" s="17" t="s">
        <v>1021</v>
      </c>
      <c r="F53" s="17" t="s">
        <v>1028</v>
      </c>
      <c r="G53" s="17" t="s">
        <v>1035</v>
      </c>
      <c r="H53" s="30">
        <v>45794</v>
      </c>
      <c r="I53" s="30">
        <v>45808</v>
      </c>
      <c r="J53" s="25">
        <v>88033</v>
      </c>
      <c r="K53" s="18">
        <v>3</v>
      </c>
      <c r="L53" s="18">
        <v>1</v>
      </c>
      <c r="M53" s="18">
        <v>4</v>
      </c>
      <c r="N53" s="25">
        <v>269687</v>
      </c>
      <c r="O53" s="18">
        <v>14</v>
      </c>
      <c r="P53" t="str">
        <f t="shared" si="0"/>
        <v>Children</v>
      </c>
      <c r="Q53" t="str">
        <f t="shared" si="1"/>
        <v>Low</v>
      </c>
      <c r="R53" t="str">
        <f>IF(OR(AND(Table1[[#This Row],[Diagnosis]]="Labour Complication",Table1[[#This Row],[Gender]]="M"), AND(Table1[[#This Row],[Diagnosis]]="Labour Complication",Table1[[#This Row],[Age]]&lt;15)),"Error","OK")</f>
        <v>OK</v>
      </c>
      <c r="S53" s="4">
        <f>Table1[[#This Row],[Bill_Amount]]+Table1[[#This Row],[Surgery_Cost]]</f>
        <v>357720</v>
      </c>
    </row>
    <row r="54" spans="1:19" x14ac:dyDescent="0.35">
      <c r="A54" s="19" t="s">
        <v>72</v>
      </c>
      <c r="B54" s="20" t="s">
        <v>572</v>
      </c>
      <c r="C54" s="21">
        <v>65</v>
      </c>
      <c r="D54" s="20" t="s">
        <v>1058</v>
      </c>
      <c r="E54" s="20" t="s">
        <v>1018</v>
      </c>
      <c r="F54" s="20" t="s">
        <v>1025</v>
      </c>
      <c r="G54" s="20" t="s">
        <v>1044</v>
      </c>
      <c r="H54" s="29">
        <v>45791</v>
      </c>
      <c r="I54" s="29">
        <v>45801</v>
      </c>
      <c r="J54" s="24">
        <v>161754</v>
      </c>
      <c r="K54" s="21">
        <v>5</v>
      </c>
      <c r="L54" s="21">
        <v>4</v>
      </c>
      <c r="M54" s="21">
        <v>1</v>
      </c>
      <c r="N54" s="24">
        <v>0</v>
      </c>
      <c r="O54" s="21">
        <v>10</v>
      </c>
      <c r="P54" t="str">
        <f t="shared" si="0"/>
        <v>Older Adults</v>
      </c>
      <c r="Q54" t="str">
        <f t="shared" si="1"/>
        <v>High</v>
      </c>
      <c r="R54" t="str">
        <f>IF(OR(AND(Table1[[#This Row],[Diagnosis]]="Labour Complication",Table1[[#This Row],[Gender]]="M"), AND(Table1[[#This Row],[Diagnosis]]="Labour Complication",Table1[[#This Row],[Age]]&lt;15)),"Error","OK")</f>
        <v>OK</v>
      </c>
      <c r="S54" s="4">
        <f>Table1[[#This Row],[Bill_Amount]]+Table1[[#This Row],[Surgery_Cost]]</f>
        <v>161754</v>
      </c>
    </row>
    <row r="55" spans="1:19" x14ac:dyDescent="0.35">
      <c r="A55" s="16" t="s">
        <v>73</v>
      </c>
      <c r="B55" s="17" t="s">
        <v>573</v>
      </c>
      <c r="C55" s="18">
        <v>48</v>
      </c>
      <c r="D55" s="17" t="s">
        <v>1058</v>
      </c>
      <c r="E55" s="17" t="s">
        <v>1021</v>
      </c>
      <c r="F55" s="17" t="s">
        <v>1028</v>
      </c>
      <c r="G55" s="17" t="s">
        <v>1035</v>
      </c>
      <c r="H55" s="30">
        <v>45799</v>
      </c>
      <c r="I55" s="30">
        <v>45802</v>
      </c>
      <c r="J55" s="25">
        <v>178075</v>
      </c>
      <c r="K55" s="18">
        <v>7</v>
      </c>
      <c r="L55" s="18">
        <v>19</v>
      </c>
      <c r="M55" s="18">
        <v>3</v>
      </c>
      <c r="N55" s="25">
        <v>179024</v>
      </c>
      <c r="O55" s="18">
        <v>3</v>
      </c>
      <c r="P55" t="str">
        <f t="shared" si="0"/>
        <v>Adults</v>
      </c>
      <c r="Q55" t="str">
        <f t="shared" si="1"/>
        <v>High</v>
      </c>
      <c r="R55" t="str">
        <f>IF(OR(AND(Table1[[#This Row],[Diagnosis]]="Labour Complication",Table1[[#This Row],[Gender]]="M"), AND(Table1[[#This Row],[Diagnosis]]="Labour Complication",Table1[[#This Row],[Age]]&lt;15)),"Error","OK")</f>
        <v>OK</v>
      </c>
      <c r="S55" s="4">
        <f>Table1[[#This Row],[Bill_Amount]]+Table1[[#This Row],[Surgery_Cost]]</f>
        <v>357099</v>
      </c>
    </row>
    <row r="56" spans="1:19" x14ac:dyDescent="0.35">
      <c r="A56" s="19" t="s">
        <v>74</v>
      </c>
      <c r="B56" s="20" t="s">
        <v>574</v>
      </c>
      <c r="C56" s="21">
        <v>39</v>
      </c>
      <c r="D56" s="20" t="s">
        <v>1057</v>
      </c>
      <c r="E56" s="20" t="s">
        <v>1020</v>
      </c>
      <c r="F56" s="20" t="s">
        <v>1027</v>
      </c>
      <c r="G56" s="20" t="s">
        <v>1034</v>
      </c>
      <c r="H56" s="29">
        <v>45764</v>
      </c>
      <c r="I56" s="29">
        <v>45779</v>
      </c>
      <c r="J56" s="24">
        <v>334802</v>
      </c>
      <c r="K56" s="21">
        <v>2</v>
      </c>
      <c r="L56" s="21">
        <v>12</v>
      </c>
      <c r="M56" s="21">
        <v>4</v>
      </c>
      <c r="N56" s="24">
        <v>0</v>
      </c>
      <c r="O56" s="21">
        <v>15</v>
      </c>
      <c r="P56" t="str">
        <f t="shared" si="0"/>
        <v>Adults</v>
      </c>
      <c r="Q56" t="str">
        <f t="shared" si="1"/>
        <v>High</v>
      </c>
      <c r="R56" t="str">
        <f>IF(OR(AND(Table1[[#This Row],[Diagnosis]]="Labour Complication",Table1[[#This Row],[Gender]]="M"), AND(Table1[[#This Row],[Diagnosis]]="Labour Complication",Table1[[#This Row],[Age]]&lt;15)),"Error","OK")</f>
        <v>OK</v>
      </c>
      <c r="S56" s="4">
        <f>Table1[[#This Row],[Bill_Amount]]+Table1[[#This Row],[Surgery_Cost]]</f>
        <v>334802</v>
      </c>
    </row>
    <row r="57" spans="1:19" x14ac:dyDescent="0.35">
      <c r="A57" s="16" t="s">
        <v>75</v>
      </c>
      <c r="B57" s="17" t="s">
        <v>575</v>
      </c>
      <c r="C57" s="18">
        <v>34</v>
      </c>
      <c r="D57" s="17" t="s">
        <v>1057</v>
      </c>
      <c r="E57" s="17" t="s">
        <v>1016</v>
      </c>
      <c r="F57" s="17" t="s">
        <v>1023</v>
      </c>
      <c r="G57" s="17" t="s">
        <v>1030</v>
      </c>
      <c r="H57" s="30">
        <v>45762</v>
      </c>
      <c r="I57" s="30">
        <v>45765</v>
      </c>
      <c r="J57" s="25">
        <v>120407</v>
      </c>
      <c r="K57" s="18">
        <v>9</v>
      </c>
      <c r="L57" s="18">
        <v>6</v>
      </c>
      <c r="M57" s="18">
        <v>3</v>
      </c>
      <c r="N57" s="25">
        <v>0</v>
      </c>
      <c r="O57" s="18">
        <v>3</v>
      </c>
      <c r="P57" t="str">
        <f t="shared" si="0"/>
        <v>Adults</v>
      </c>
      <c r="Q57" t="str">
        <f t="shared" si="1"/>
        <v>Medium</v>
      </c>
      <c r="R57" t="str">
        <f>IF(OR(AND(Table1[[#This Row],[Diagnosis]]="Labour Complication",Table1[[#This Row],[Gender]]="M"), AND(Table1[[#This Row],[Diagnosis]]="Labour Complication",Table1[[#This Row],[Age]]&lt;15)),"Error","OK")</f>
        <v>OK</v>
      </c>
      <c r="S57" s="4">
        <f>Table1[[#This Row],[Bill_Amount]]+Table1[[#This Row],[Surgery_Cost]]</f>
        <v>120407</v>
      </c>
    </row>
    <row r="58" spans="1:19" x14ac:dyDescent="0.35">
      <c r="A58" s="19" t="s">
        <v>76</v>
      </c>
      <c r="B58" s="20" t="s">
        <v>576</v>
      </c>
      <c r="C58" s="21">
        <v>35</v>
      </c>
      <c r="D58" s="20" t="s">
        <v>1058</v>
      </c>
      <c r="E58" s="20" t="s">
        <v>1016</v>
      </c>
      <c r="F58" s="20" t="s">
        <v>1023</v>
      </c>
      <c r="G58" s="20" t="s">
        <v>1030</v>
      </c>
      <c r="H58" s="29">
        <v>45769</v>
      </c>
      <c r="I58" s="29">
        <v>45779</v>
      </c>
      <c r="J58" s="24">
        <v>131499</v>
      </c>
      <c r="K58" s="21">
        <v>5</v>
      </c>
      <c r="L58" s="21">
        <v>11</v>
      </c>
      <c r="M58" s="21">
        <v>2</v>
      </c>
      <c r="N58" s="24">
        <v>0</v>
      </c>
      <c r="O58" s="21">
        <v>10</v>
      </c>
      <c r="P58" t="str">
        <f t="shared" si="0"/>
        <v>Adults</v>
      </c>
      <c r="Q58" t="str">
        <f t="shared" si="1"/>
        <v>Medium</v>
      </c>
      <c r="R58" t="str">
        <f>IF(OR(AND(Table1[[#This Row],[Diagnosis]]="Labour Complication",Table1[[#This Row],[Gender]]="M"), AND(Table1[[#This Row],[Diagnosis]]="Labour Complication",Table1[[#This Row],[Age]]&lt;15)),"Error","OK")</f>
        <v>OK</v>
      </c>
      <c r="S58" s="4">
        <f>Table1[[#This Row],[Bill_Amount]]+Table1[[#This Row],[Surgery_Cost]]</f>
        <v>131499</v>
      </c>
    </row>
    <row r="59" spans="1:19" x14ac:dyDescent="0.35">
      <c r="A59" s="16" t="s">
        <v>77</v>
      </c>
      <c r="B59" s="17" t="s">
        <v>577</v>
      </c>
      <c r="C59" s="18">
        <v>88</v>
      </c>
      <c r="D59" s="17" t="s">
        <v>1058</v>
      </c>
      <c r="E59" s="17" t="s">
        <v>1016</v>
      </c>
      <c r="F59" s="17" t="s">
        <v>1023</v>
      </c>
      <c r="G59" s="17" t="s">
        <v>1040</v>
      </c>
      <c r="H59" s="30">
        <v>45801</v>
      </c>
      <c r="I59" s="30">
        <v>45808</v>
      </c>
      <c r="J59" s="25">
        <v>156743</v>
      </c>
      <c r="K59" s="18">
        <v>4</v>
      </c>
      <c r="L59" s="18">
        <v>13</v>
      </c>
      <c r="M59" s="18">
        <v>1</v>
      </c>
      <c r="N59" s="25">
        <v>0</v>
      </c>
      <c r="O59" s="18">
        <v>7</v>
      </c>
      <c r="P59" t="str">
        <f t="shared" si="0"/>
        <v>Older Adults</v>
      </c>
      <c r="Q59" t="str">
        <f t="shared" si="1"/>
        <v>High</v>
      </c>
      <c r="R59" t="str">
        <f>IF(OR(AND(Table1[[#This Row],[Diagnosis]]="Labour Complication",Table1[[#This Row],[Gender]]="M"), AND(Table1[[#This Row],[Diagnosis]]="Labour Complication",Table1[[#This Row],[Age]]&lt;15)),"Error","OK")</f>
        <v>OK</v>
      </c>
      <c r="S59" s="4">
        <f>Table1[[#This Row],[Bill_Amount]]+Table1[[#This Row],[Surgery_Cost]]</f>
        <v>156743</v>
      </c>
    </row>
    <row r="60" spans="1:19" x14ac:dyDescent="0.35">
      <c r="A60" s="19" t="s">
        <v>78</v>
      </c>
      <c r="B60" s="20" t="s">
        <v>578</v>
      </c>
      <c r="C60" s="21">
        <v>12</v>
      </c>
      <c r="D60" s="20" t="s">
        <v>1058</v>
      </c>
      <c r="E60" s="20" t="s">
        <v>1021</v>
      </c>
      <c r="F60" s="20" t="s">
        <v>1028</v>
      </c>
      <c r="G60" s="20" t="s">
        <v>1036</v>
      </c>
      <c r="H60" s="29">
        <v>45748</v>
      </c>
      <c r="I60" s="29">
        <v>45763</v>
      </c>
      <c r="J60" s="24">
        <v>76633</v>
      </c>
      <c r="K60" s="21">
        <v>6</v>
      </c>
      <c r="L60" s="21">
        <v>3</v>
      </c>
      <c r="M60" s="21">
        <v>1</v>
      </c>
      <c r="N60" s="24">
        <v>143345</v>
      </c>
      <c r="O60" s="21">
        <v>15</v>
      </c>
      <c r="P60" t="str">
        <f t="shared" si="0"/>
        <v>Children</v>
      </c>
      <c r="Q60" t="str">
        <f t="shared" si="1"/>
        <v>Low</v>
      </c>
      <c r="R60" t="str">
        <f>IF(OR(AND(Table1[[#This Row],[Diagnosis]]="Labour Complication",Table1[[#This Row],[Gender]]="M"), AND(Table1[[#This Row],[Diagnosis]]="Labour Complication",Table1[[#This Row],[Age]]&lt;15)),"Error","OK")</f>
        <v>OK</v>
      </c>
      <c r="S60" s="4">
        <f>Table1[[#This Row],[Bill_Amount]]+Table1[[#This Row],[Surgery_Cost]]</f>
        <v>219978</v>
      </c>
    </row>
    <row r="61" spans="1:19" x14ac:dyDescent="0.35">
      <c r="A61" s="16" t="s">
        <v>79</v>
      </c>
      <c r="B61" s="17" t="s">
        <v>579</v>
      </c>
      <c r="C61" s="18">
        <v>17</v>
      </c>
      <c r="D61" s="17" t="s">
        <v>1058</v>
      </c>
      <c r="E61" s="17" t="s">
        <v>1018</v>
      </c>
      <c r="F61" s="17" t="s">
        <v>1025</v>
      </c>
      <c r="G61" s="17" t="s">
        <v>1044</v>
      </c>
      <c r="H61" s="30">
        <v>45757</v>
      </c>
      <c r="I61" s="30">
        <v>45759</v>
      </c>
      <c r="J61" s="25">
        <v>224879</v>
      </c>
      <c r="K61" s="18">
        <v>7</v>
      </c>
      <c r="L61" s="18">
        <v>7</v>
      </c>
      <c r="M61" s="18">
        <v>1</v>
      </c>
      <c r="N61" s="25">
        <v>0</v>
      </c>
      <c r="O61" s="18">
        <v>2</v>
      </c>
      <c r="P61" t="str">
        <f t="shared" si="0"/>
        <v>Teenagers</v>
      </c>
      <c r="Q61" t="str">
        <f t="shared" si="1"/>
        <v>High</v>
      </c>
      <c r="R61" t="str">
        <f>IF(OR(AND(Table1[[#This Row],[Diagnosis]]="Labour Complication",Table1[[#This Row],[Gender]]="M"), AND(Table1[[#This Row],[Diagnosis]]="Labour Complication",Table1[[#This Row],[Age]]&lt;15)),"Error","OK")</f>
        <v>OK</v>
      </c>
      <c r="S61" s="4">
        <f>Table1[[#This Row],[Bill_Amount]]+Table1[[#This Row],[Surgery_Cost]]</f>
        <v>224879</v>
      </c>
    </row>
    <row r="62" spans="1:19" x14ac:dyDescent="0.35">
      <c r="A62" s="19" t="s">
        <v>80</v>
      </c>
      <c r="B62" s="20" t="s">
        <v>580</v>
      </c>
      <c r="C62" s="21">
        <v>55</v>
      </c>
      <c r="D62" s="20" t="s">
        <v>1057</v>
      </c>
      <c r="E62" s="20" t="s">
        <v>1016</v>
      </c>
      <c r="F62" s="20" t="s">
        <v>1023</v>
      </c>
      <c r="G62" s="20" t="s">
        <v>1030</v>
      </c>
      <c r="H62" s="29">
        <v>45752</v>
      </c>
      <c r="I62" s="29">
        <v>45761</v>
      </c>
      <c r="J62" s="24">
        <v>339239</v>
      </c>
      <c r="K62" s="21">
        <v>2</v>
      </c>
      <c r="L62" s="21">
        <v>8</v>
      </c>
      <c r="M62" s="21">
        <v>3</v>
      </c>
      <c r="N62" s="24">
        <v>0</v>
      </c>
      <c r="O62" s="21">
        <v>9</v>
      </c>
      <c r="P62" t="str">
        <f t="shared" si="0"/>
        <v>Adults</v>
      </c>
      <c r="Q62" t="str">
        <f t="shared" si="1"/>
        <v>High</v>
      </c>
      <c r="R62" t="str">
        <f>IF(OR(AND(Table1[[#This Row],[Diagnosis]]="Labour Complication",Table1[[#This Row],[Gender]]="M"), AND(Table1[[#This Row],[Diagnosis]]="Labour Complication",Table1[[#This Row],[Age]]&lt;15)),"Error","OK")</f>
        <v>OK</v>
      </c>
      <c r="S62" s="4">
        <f>Table1[[#This Row],[Bill_Amount]]+Table1[[#This Row],[Surgery_Cost]]</f>
        <v>339239</v>
      </c>
    </row>
    <row r="63" spans="1:19" x14ac:dyDescent="0.35">
      <c r="A63" s="16" t="s">
        <v>81</v>
      </c>
      <c r="B63" s="17" t="s">
        <v>581</v>
      </c>
      <c r="C63" s="18">
        <v>70</v>
      </c>
      <c r="D63" s="17" t="s">
        <v>1057</v>
      </c>
      <c r="E63" s="17" t="s">
        <v>1018</v>
      </c>
      <c r="F63" s="17" t="s">
        <v>1025</v>
      </c>
      <c r="G63" s="17" t="s">
        <v>1037</v>
      </c>
      <c r="H63" s="30">
        <v>45783</v>
      </c>
      <c r="I63" s="30">
        <v>45796</v>
      </c>
      <c r="J63" s="25">
        <v>128147</v>
      </c>
      <c r="K63" s="18">
        <v>9</v>
      </c>
      <c r="L63" s="18">
        <v>2</v>
      </c>
      <c r="M63" s="18">
        <v>4</v>
      </c>
      <c r="N63" s="25">
        <v>0</v>
      </c>
      <c r="O63" s="18">
        <v>13</v>
      </c>
      <c r="P63" t="str">
        <f t="shared" si="0"/>
        <v>Older Adults</v>
      </c>
      <c r="Q63" t="str">
        <f t="shared" si="1"/>
        <v>Medium</v>
      </c>
      <c r="R63" t="str">
        <f>IF(OR(AND(Table1[[#This Row],[Diagnosis]]="Labour Complication",Table1[[#This Row],[Gender]]="M"), AND(Table1[[#This Row],[Diagnosis]]="Labour Complication",Table1[[#This Row],[Age]]&lt;15)),"Error","OK")</f>
        <v>OK</v>
      </c>
      <c r="S63" s="4">
        <f>Table1[[#This Row],[Bill_Amount]]+Table1[[#This Row],[Surgery_Cost]]</f>
        <v>128147</v>
      </c>
    </row>
    <row r="64" spans="1:19" x14ac:dyDescent="0.35">
      <c r="A64" s="19" t="s">
        <v>82</v>
      </c>
      <c r="B64" s="20" t="s">
        <v>582</v>
      </c>
      <c r="C64" s="21">
        <v>56</v>
      </c>
      <c r="D64" s="20" t="s">
        <v>1057</v>
      </c>
      <c r="E64" s="20" t="s">
        <v>1019</v>
      </c>
      <c r="F64" s="20" t="s">
        <v>1026</v>
      </c>
      <c r="G64" s="20" t="s">
        <v>1033</v>
      </c>
      <c r="H64" s="29">
        <v>45798</v>
      </c>
      <c r="I64" s="29">
        <v>45808</v>
      </c>
      <c r="J64" s="24">
        <v>127643</v>
      </c>
      <c r="K64" s="21">
        <v>4</v>
      </c>
      <c r="L64" s="21">
        <v>3</v>
      </c>
      <c r="M64" s="21">
        <v>3</v>
      </c>
      <c r="N64" s="24">
        <v>0</v>
      </c>
      <c r="O64" s="21">
        <v>10</v>
      </c>
      <c r="P64" t="str">
        <f t="shared" si="0"/>
        <v>Adults</v>
      </c>
      <c r="Q64" t="str">
        <f t="shared" si="1"/>
        <v>Medium</v>
      </c>
      <c r="R64" t="str">
        <f>IF(OR(AND(Table1[[#This Row],[Diagnosis]]="Labour Complication",Table1[[#This Row],[Gender]]="M"), AND(Table1[[#This Row],[Diagnosis]]="Labour Complication",Table1[[#This Row],[Age]]&lt;15)),"Error","OK")</f>
        <v>OK</v>
      </c>
      <c r="S64" s="4">
        <f>Table1[[#This Row],[Bill_Amount]]+Table1[[#This Row],[Surgery_Cost]]</f>
        <v>127643</v>
      </c>
    </row>
    <row r="65" spans="1:19" x14ac:dyDescent="0.35">
      <c r="A65" s="16" t="s">
        <v>83</v>
      </c>
      <c r="B65" s="17" t="s">
        <v>583</v>
      </c>
      <c r="C65" s="18">
        <v>6</v>
      </c>
      <c r="D65" s="17" t="s">
        <v>1058</v>
      </c>
      <c r="E65" s="17" t="s">
        <v>1021</v>
      </c>
      <c r="F65" s="17" t="s">
        <v>1028</v>
      </c>
      <c r="G65" s="17" t="s">
        <v>1035</v>
      </c>
      <c r="H65" s="30">
        <v>45768</v>
      </c>
      <c r="I65" s="30">
        <v>45775</v>
      </c>
      <c r="J65" s="25">
        <v>467397</v>
      </c>
      <c r="K65" s="18">
        <v>8</v>
      </c>
      <c r="L65" s="18">
        <v>12</v>
      </c>
      <c r="M65" s="18">
        <v>3</v>
      </c>
      <c r="N65" s="25">
        <v>164668</v>
      </c>
      <c r="O65" s="18">
        <v>7</v>
      </c>
      <c r="P65" t="str">
        <f t="shared" si="0"/>
        <v>Children</v>
      </c>
      <c r="Q65" t="str">
        <f t="shared" si="1"/>
        <v>High</v>
      </c>
      <c r="R65" t="str">
        <f>IF(OR(AND(Table1[[#This Row],[Diagnosis]]="Labour Complication",Table1[[#This Row],[Gender]]="M"), AND(Table1[[#This Row],[Diagnosis]]="Labour Complication",Table1[[#This Row],[Age]]&lt;15)),"Error","OK")</f>
        <v>OK</v>
      </c>
      <c r="S65" s="4">
        <f>Table1[[#This Row],[Bill_Amount]]+Table1[[#This Row],[Surgery_Cost]]</f>
        <v>632065</v>
      </c>
    </row>
    <row r="66" spans="1:19" x14ac:dyDescent="0.35">
      <c r="A66" s="19" t="s">
        <v>84</v>
      </c>
      <c r="B66" s="20" t="s">
        <v>584</v>
      </c>
      <c r="C66" s="21">
        <v>14</v>
      </c>
      <c r="D66" s="20" t="s">
        <v>1058</v>
      </c>
      <c r="E66" s="20" t="s">
        <v>1016</v>
      </c>
      <c r="F66" s="20" t="s">
        <v>1023</v>
      </c>
      <c r="G66" s="20" t="s">
        <v>1040</v>
      </c>
      <c r="H66" s="29">
        <v>45753</v>
      </c>
      <c r="I66" s="29">
        <v>45758</v>
      </c>
      <c r="J66" s="24">
        <v>399665</v>
      </c>
      <c r="K66" s="21">
        <v>8</v>
      </c>
      <c r="L66" s="21">
        <v>18</v>
      </c>
      <c r="M66" s="21">
        <v>1</v>
      </c>
      <c r="N66" s="24">
        <v>0</v>
      </c>
      <c r="O66" s="21">
        <v>5</v>
      </c>
      <c r="P66" t="str">
        <f t="shared" ref="P66:P129" si="2">IF(C66&lt;=12,"Children", IF(C66&lt;=19,"Teenagers", IF(C66&lt;60, "Adults","Older Adults")))</f>
        <v>Teenagers</v>
      </c>
      <c r="Q66" t="str">
        <f t="shared" ref="Q66:Q129" si="3">IF(J66&lt;100000,"Low", IF(J66&lt;150000,"Medium","High"))</f>
        <v>High</v>
      </c>
      <c r="R66" t="str">
        <f>IF(OR(AND(Table1[[#This Row],[Diagnosis]]="Labour Complication",Table1[[#This Row],[Gender]]="M"), AND(Table1[[#This Row],[Diagnosis]]="Labour Complication",Table1[[#This Row],[Age]]&lt;15)),"Error","OK")</f>
        <v>OK</v>
      </c>
      <c r="S66" s="4">
        <f>Table1[[#This Row],[Bill_Amount]]+Table1[[#This Row],[Surgery_Cost]]</f>
        <v>399665</v>
      </c>
    </row>
    <row r="67" spans="1:19" x14ac:dyDescent="0.35">
      <c r="A67" s="16" t="s">
        <v>85</v>
      </c>
      <c r="B67" s="17" t="s">
        <v>585</v>
      </c>
      <c r="C67" s="18">
        <v>31</v>
      </c>
      <c r="D67" s="17" t="s">
        <v>1057</v>
      </c>
      <c r="E67" s="17" t="s">
        <v>1019</v>
      </c>
      <c r="F67" s="17" t="s">
        <v>1026</v>
      </c>
      <c r="G67" s="17" t="s">
        <v>1033</v>
      </c>
      <c r="H67" s="30">
        <v>45778</v>
      </c>
      <c r="I67" s="30">
        <v>45791</v>
      </c>
      <c r="J67" s="25">
        <v>131030</v>
      </c>
      <c r="K67" s="18">
        <v>4</v>
      </c>
      <c r="L67" s="18">
        <v>14</v>
      </c>
      <c r="M67" s="18">
        <v>4</v>
      </c>
      <c r="N67" s="25">
        <v>0</v>
      </c>
      <c r="O67" s="18">
        <v>13</v>
      </c>
      <c r="P67" t="str">
        <f t="shared" si="2"/>
        <v>Adults</v>
      </c>
      <c r="Q67" t="str">
        <f t="shared" si="3"/>
        <v>Medium</v>
      </c>
      <c r="R67" t="str">
        <f>IF(OR(AND(Table1[[#This Row],[Diagnosis]]="Labour Complication",Table1[[#This Row],[Gender]]="M"), AND(Table1[[#This Row],[Diagnosis]]="Labour Complication",Table1[[#This Row],[Age]]&lt;15)),"Error","OK")</f>
        <v>OK</v>
      </c>
      <c r="S67" s="4">
        <f>Table1[[#This Row],[Bill_Amount]]+Table1[[#This Row],[Surgery_Cost]]</f>
        <v>131030</v>
      </c>
    </row>
    <row r="68" spans="1:19" x14ac:dyDescent="0.35">
      <c r="A68" s="19" t="s">
        <v>86</v>
      </c>
      <c r="B68" s="20" t="s">
        <v>586</v>
      </c>
      <c r="C68" s="21">
        <v>43</v>
      </c>
      <c r="D68" s="20" t="s">
        <v>1058</v>
      </c>
      <c r="E68" s="20" t="s">
        <v>1020</v>
      </c>
      <c r="F68" s="20" t="s">
        <v>1027</v>
      </c>
      <c r="G68" s="20" t="s">
        <v>1043</v>
      </c>
      <c r="H68" s="29">
        <v>45762</v>
      </c>
      <c r="I68" s="29">
        <v>45764</v>
      </c>
      <c r="J68" s="24">
        <v>144036</v>
      </c>
      <c r="K68" s="21">
        <v>1</v>
      </c>
      <c r="L68" s="21">
        <v>15</v>
      </c>
      <c r="M68" s="21">
        <v>3</v>
      </c>
      <c r="N68" s="24">
        <v>0</v>
      </c>
      <c r="O68" s="21">
        <v>2</v>
      </c>
      <c r="P68" t="str">
        <f t="shared" si="2"/>
        <v>Adults</v>
      </c>
      <c r="Q68" t="str">
        <f t="shared" si="3"/>
        <v>Medium</v>
      </c>
      <c r="R68" t="str">
        <f>IF(OR(AND(Table1[[#This Row],[Diagnosis]]="Labour Complication",Table1[[#This Row],[Gender]]="M"), AND(Table1[[#This Row],[Diagnosis]]="Labour Complication",Table1[[#This Row],[Age]]&lt;15)),"Error","OK")</f>
        <v>OK</v>
      </c>
      <c r="S68" s="4">
        <f>Table1[[#This Row],[Bill_Amount]]+Table1[[#This Row],[Surgery_Cost]]</f>
        <v>144036</v>
      </c>
    </row>
    <row r="69" spans="1:19" x14ac:dyDescent="0.35">
      <c r="A69" s="16" t="s">
        <v>87</v>
      </c>
      <c r="B69" s="17" t="s">
        <v>587</v>
      </c>
      <c r="C69" s="18">
        <v>90</v>
      </c>
      <c r="D69" s="17" t="s">
        <v>1057</v>
      </c>
      <c r="E69" s="17" t="s">
        <v>1021</v>
      </c>
      <c r="F69" s="17" t="s">
        <v>1028</v>
      </c>
      <c r="G69" s="17" t="s">
        <v>1036</v>
      </c>
      <c r="H69" s="30">
        <v>45750</v>
      </c>
      <c r="I69" s="30">
        <v>45754</v>
      </c>
      <c r="J69" s="25">
        <v>462811</v>
      </c>
      <c r="K69" s="18">
        <v>2</v>
      </c>
      <c r="L69" s="18">
        <v>9</v>
      </c>
      <c r="M69" s="18">
        <v>2</v>
      </c>
      <c r="N69" s="25">
        <v>145336</v>
      </c>
      <c r="O69" s="18">
        <v>4</v>
      </c>
      <c r="P69" t="str">
        <f t="shared" si="2"/>
        <v>Older Adults</v>
      </c>
      <c r="Q69" t="str">
        <f t="shared" si="3"/>
        <v>High</v>
      </c>
      <c r="R69" t="str">
        <f>IF(OR(AND(Table1[[#This Row],[Diagnosis]]="Labour Complication",Table1[[#This Row],[Gender]]="M"), AND(Table1[[#This Row],[Diagnosis]]="Labour Complication",Table1[[#This Row],[Age]]&lt;15)),"Error","OK")</f>
        <v>OK</v>
      </c>
      <c r="S69" s="4">
        <f>Table1[[#This Row],[Bill_Amount]]+Table1[[#This Row],[Surgery_Cost]]</f>
        <v>608147</v>
      </c>
    </row>
    <row r="70" spans="1:19" x14ac:dyDescent="0.35">
      <c r="A70" s="19" t="s">
        <v>88</v>
      </c>
      <c r="B70" s="20" t="s">
        <v>588</v>
      </c>
      <c r="C70" s="21">
        <v>29</v>
      </c>
      <c r="D70" s="20" t="s">
        <v>1057</v>
      </c>
      <c r="E70" s="20" t="s">
        <v>1022</v>
      </c>
      <c r="F70" s="20" t="s">
        <v>1029</v>
      </c>
      <c r="G70" s="20" t="s">
        <v>1041</v>
      </c>
      <c r="H70" s="29">
        <v>45791</v>
      </c>
      <c r="I70" s="29">
        <v>45793</v>
      </c>
      <c r="J70" s="24">
        <v>296777</v>
      </c>
      <c r="K70" s="21">
        <v>9</v>
      </c>
      <c r="L70" s="21">
        <v>5</v>
      </c>
      <c r="M70" s="21">
        <v>4</v>
      </c>
      <c r="N70" s="24">
        <v>0</v>
      </c>
      <c r="O70" s="21">
        <v>2</v>
      </c>
      <c r="P70" t="str">
        <f t="shared" si="2"/>
        <v>Adults</v>
      </c>
      <c r="Q70" t="str">
        <f t="shared" si="3"/>
        <v>High</v>
      </c>
      <c r="R70" t="str">
        <f>IF(OR(AND(Table1[[#This Row],[Diagnosis]]="Labour Complication",Table1[[#This Row],[Gender]]="M"), AND(Table1[[#This Row],[Diagnosis]]="Labour Complication",Table1[[#This Row],[Age]]&lt;15)),"Error","OK")</f>
        <v>OK</v>
      </c>
      <c r="S70" s="4">
        <f>Table1[[#This Row],[Bill_Amount]]+Table1[[#This Row],[Surgery_Cost]]</f>
        <v>296777</v>
      </c>
    </row>
    <row r="71" spans="1:19" x14ac:dyDescent="0.35">
      <c r="A71" s="16" t="s">
        <v>89</v>
      </c>
      <c r="B71" s="17" t="s">
        <v>589</v>
      </c>
      <c r="C71" s="18">
        <v>30</v>
      </c>
      <c r="D71" s="17" t="s">
        <v>1057</v>
      </c>
      <c r="E71" s="17" t="s">
        <v>1021</v>
      </c>
      <c r="F71" s="17" t="s">
        <v>1028</v>
      </c>
      <c r="G71" s="17" t="s">
        <v>1035</v>
      </c>
      <c r="H71" s="30">
        <v>45754</v>
      </c>
      <c r="I71" s="30">
        <v>45760</v>
      </c>
      <c r="J71" s="25">
        <v>480197</v>
      </c>
      <c r="K71" s="18">
        <v>8</v>
      </c>
      <c r="L71" s="18">
        <v>3</v>
      </c>
      <c r="M71" s="18">
        <v>1</v>
      </c>
      <c r="N71" s="25">
        <v>133852</v>
      </c>
      <c r="O71" s="18">
        <v>6</v>
      </c>
      <c r="P71" t="str">
        <f t="shared" si="2"/>
        <v>Adults</v>
      </c>
      <c r="Q71" t="str">
        <f t="shared" si="3"/>
        <v>High</v>
      </c>
      <c r="R71" t="str">
        <f>IF(OR(AND(Table1[[#This Row],[Diagnosis]]="Labour Complication",Table1[[#This Row],[Gender]]="M"), AND(Table1[[#This Row],[Diagnosis]]="Labour Complication",Table1[[#This Row],[Age]]&lt;15)),"Error","OK")</f>
        <v>OK</v>
      </c>
      <c r="S71" s="4">
        <f>Table1[[#This Row],[Bill_Amount]]+Table1[[#This Row],[Surgery_Cost]]</f>
        <v>614049</v>
      </c>
    </row>
    <row r="72" spans="1:19" x14ac:dyDescent="0.35">
      <c r="A72" s="19" t="s">
        <v>90</v>
      </c>
      <c r="B72" s="20" t="s">
        <v>590</v>
      </c>
      <c r="C72" s="21">
        <v>43</v>
      </c>
      <c r="D72" s="20" t="s">
        <v>1058</v>
      </c>
      <c r="E72" s="20" t="s">
        <v>1016</v>
      </c>
      <c r="F72" s="20" t="s">
        <v>1023</v>
      </c>
      <c r="G72" s="20" t="s">
        <v>1030</v>
      </c>
      <c r="H72" s="29">
        <v>45757</v>
      </c>
      <c r="I72" s="29">
        <v>45762</v>
      </c>
      <c r="J72" s="24">
        <v>258910</v>
      </c>
      <c r="K72" s="21">
        <v>4</v>
      </c>
      <c r="L72" s="21">
        <v>9</v>
      </c>
      <c r="M72" s="21">
        <v>4</v>
      </c>
      <c r="N72" s="24">
        <v>0</v>
      </c>
      <c r="O72" s="21">
        <v>5</v>
      </c>
      <c r="P72" t="str">
        <f t="shared" si="2"/>
        <v>Adults</v>
      </c>
      <c r="Q72" t="str">
        <f t="shared" si="3"/>
        <v>High</v>
      </c>
      <c r="R72" t="str">
        <f>IF(OR(AND(Table1[[#This Row],[Diagnosis]]="Labour Complication",Table1[[#This Row],[Gender]]="M"), AND(Table1[[#This Row],[Diagnosis]]="Labour Complication",Table1[[#This Row],[Age]]&lt;15)),"Error","OK")</f>
        <v>OK</v>
      </c>
      <c r="S72" s="4">
        <f>Table1[[#This Row],[Bill_Amount]]+Table1[[#This Row],[Surgery_Cost]]</f>
        <v>258910</v>
      </c>
    </row>
    <row r="73" spans="1:19" x14ac:dyDescent="0.35">
      <c r="A73" s="16" t="s">
        <v>91</v>
      </c>
      <c r="B73" s="17" t="s">
        <v>591</v>
      </c>
      <c r="C73" s="18">
        <v>83</v>
      </c>
      <c r="D73" s="17" t="s">
        <v>1058</v>
      </c>
      <c r="E73" s="17" t="s">
        <v>1022</v>
      </c>
      <c r="F73" s="17" t="s">
        <v>1029</v>
      </c>
      <c r="G73" s="17" t="s">
        <v>1041</v>
      </c>
      <c r="H73" s="30">
        <v>45778</v>
      </c>
      <c r="I73" s="30">
        <v>45784</v>
      </c>
      <c r="J73" s="25">
        <v>234101</v>
      </c>
      <c r="K73" s="18">
        <v>1</v>
      </c>
      <c r="L73" s="18">
        <v>17</v>
      </c>
      <c r="M73" s="18">
        <v>4</v>
      </c>
      <c r="N73" s="25">
        <v>0</v>
      </c>
      <c r="O73" s="18">
        <v>6</v>
      </c>
      <c r="P73" t="str">
        <f t="shared" si="2"/>
        <v>Older Adults</v>
      </c>
      <c r="Q73" t="str">
        <f t="shared" si="3"/>
        <v>High</v>
      </c>
      <c r="R73" t="str">
        <f>IF(OR(AND(Table1[[#This Row],[Diagnosis]]="Labour Complication",Table1[[#This Row],[Gender]]="M"), AND(Table1[[#This Row],[Diagnosis]]="Labour Complication",Table1[[#This Row],[Age]]&lt;15)),"Error","OK")</f>
        <v>OK</v>
      </c>
      <c r="S73" s="4">
        <f>Table1[[#This Row],[Bill_Amount]]+Table1[[#This Row],[Surgery_Cost]]</f>
        <v>234101</v>
      </c>
    </row>
    <row r="74" spans="1:19" x14ac:dyDescent="0.35">
      <c r="A74" s="19" t="s">
        <v>92</v>
      </c>
      <c r="B74" s="20" t="s">
        <v>592</v>
      </c>
      <c r="C74" s="21">
        <v>23</v>
      </c>
      <c r="D74" s="20" t="s">
        <v>1058</v>
      </c>
      <c r="E74" s="20" t="s">
        <v>1018</v>
      </c>
      <c r="F74" s="20" t="s">
        <v>1025</v>
      </c>
      <c r="G74" s="20" t="s">
        <v>1044</v>
      </c>
      <c r="H74" s="29">
        <v>45781</v>
      </c>
      <c r="I74" s="29">
        <v>45784</v>
      </c>
      <c r="J74" s="24">
        <v>186951</v>
      </c>
      <c r="K74" s="21">
        <v>9</v>
      </c>
      <c r="L74" s="21">
        <v>16</v>
      </c>
      <c r="M74" s="21">
        <v>4</v>
      </c>
      <c r="N74" s="24">
        <v>0</v>
      </c>
      <c r="O74" s="21">
        <v>3</v>
      </c>
      <c r="P74" t="str">
        <f t="shared" si="2"/>
        <v>Adults</v>
      </c>
      <c r="Q74" t="str">
        <f t="shared" si="3"/>
        <v>High</v>
      </c>
      <c r="R74" t="str">
        <f>IF(OR(AND(Table1[[#This Row],[Diagnosis]]="Labour Complication",Table1[[#This Row],[Gender]]="M"), AND(Table1[[#This Row],[Diagnosis]]="Labour Complication",Table1[[#This Row],[Age]]&lt;15)),"Error","OK")</f>
        <v>OK</v>
      </c>
      <c r="S74" s="4">
        <f>Table1[[#This Row],[Bill_Amount]]+Table1[[#This Row],[Surgery_Cost]]</f>
        <v>186951</v>
      </c>
    </row>
    <row r="75" spans="1:19" x14ac:dyDescent="0.35">
      <c r="A75" s="16" t="s">
        <v>93</v>
      </c>
      <c r="B75" s="17" t="s">
        <v>593</v>
      </c>
      <c r="C75" s="18">
        <v>45</v>
      </c>
      <c r="D75" s="17" t="s">
        <v>1058</v>
      </c>
      <c r="E75" s="17" t="s">
        <v>1018</v>
      </c>
      <c r="F75" s="17" t="s">
        <v>1025</v>
      </c>
      <c r="G75" s="17" t="s">
        <v>1037</v>
      </c>
      <c r="H75" s="30">
        <v>45773</v>
      </c>
      <c r="I75" s="30">
        <v>45784</v>
      </c>
      <c r="J75" s="25">
        <v>277836</v>
      </c>
      <c r="K75" s="18">
        <v>3</v>
      </c>
      <c r="L75" s="18">
        <v>12</v>
      </c>
      <c r="M75" s="18">
        <v>1</v>
      </c>
      <c r="N75" s="25">
        <v>0</v>
      </c>
      <c r="O75" s="18">
        <v>11</v>
      </c>
      <c r="P75" t="str">
        <f t="shared" si="2"/>
        <v>Adults</v>
      </c>
      <c r="Q75" t="str">
        <f t="shared" si="3"/>
        <v>High</v>
      </c>
      <c r="R75" t="str">
        <f>IF(OR(AND(Table1[[#This Row],[Diagnosis]]="Labour Complication",Table1[[#This Row],[Gender]]="M"), AND(Table1[[#This Row],[Diagnosis]]="Labour Complication",Table1[[#This Row],[Age]]&lt;15)),"Error","OK")</f>
        <v>OK</v>
      </c>
      <c r="S75" s="4">
        <f>Table1[[#This Row],[Bill_Amount]]+Table1[[#This Row],[Surgery_Cost]]</f>
        <v>277836</v>
      </c>
    </row>
    <row r="76" spans="1:19" x14ac:dyDescent="0.35">
      <c r="A76" s="19" t="s">
        <v>94</v>
      </c>
      <c r="B76" s="20" t="s">
        <v>594</v>
      </c>
      <c r="C76" s="21">
        <v>50</v>
      </c>
      <c r="D76" s="20" t="s">
        <v>1057</v>
      </c>
      <c r="E76" s="20" t="s">
        <v>1019</v>
      </c>
      <c r="F76" s="20" t="s">
        <v>1026</v>
      </c>
      <c r="G76" s="20" t="s">
        <v>1038</v>
      </c>
      <c r="H76" s="29">
        <v>45786</v>
      </c>
      <c r="I76" s="29">
        <v>45796</v>
      </c>
      <c r="J76" s="24">
        <v>110631</v>
      </c>
      <c r="K76" s="21">
        <v>8</v>
      </c>
      <c r="L76" s="21">
        <v>12</v>
      </c>
      <c r="M76" s="21">
        <v>1</v>
      </c>
      <c r="N76" s="24">
        <v>0</v>
      </c>
      <c r="O76" s="21">
        <v>10</v>
      </c>
      <c r="P76" t="str">
        <f t="shared" si="2"/>
        <v>Adults</v>
      </c>
      <c r="Q76" t="str">
        <f t="shared" si="3"/>
        <v>Medium</v>
      </c>
      <c r="R76" t="str">
        <f>IF(OR(AND(Table1[[#This Row],[Diagnosis]]="Labour Complication",Table1[[#This Row],[Gender]]="M"), AND(Table1[[#This Row],[Diagnosis]]="Labour Complication",Table1[[#This Row],[Age]]&lt;15)),"Error","OK")</f>
        <v>OK</v>
      </c>
      <c r="S76" s="4">
        <f>Table1[[#This Row],[Bill_Amount]]+Table1[[#This Row],[Surgery_Cost]]</f>
        <v>110631</v>
      </c>
    </row>
    <row r="77" spans="1:19" x14ac:dyDescent="0.35">
      <c r="A77" s="16" t="s">
        <v>95</v>
      </c>
      <c r="B77" s="17" t="s">
        <v>595</v>
      </c>
      <c r="C77" s="18">
        <v>1</v>
      </c>
      <c r="D77" s="17" t="s">
        <v>1057</v>
      </c>
      <c r="E77" s="17" t="s">
        <v>1018</v>
      </c>
      <c r="F77" s="17" t="s">
        <v>1025</v>
      </c>
      <c r="G77" s="17" t="s">
        <v>1037</v>
      </c>
      <c r="H77" s="30">
        <v>45787</v>
      </c>
      <c r="I77" s="30">
        <v>45800</v>
      </c>
      <c r="J77" s="25">
        <v>278619</v>
      </c>
      <c r="K77" s="18">
        <v>3</v>
      </c>
      <c r="L77" s="18">
        <v>18</v>
      </c>
      <c r="M77" s="18">
        <v>1</v>
      </c>
      <c r="N77" s="25">
        <v>0</v>
      </c>
      <c r="O77" s="18">
        <v>13</v>
      </c>
      <c r="P77" t="str">
        <f t="shared" si="2"/>
        <v>Children</v>
      </c>
      <c r="Q77" t="str">
        <f t="shared" si="3"/>
        <v>High</v>
      </c>
      <c r="R77" t="str">
        <f>IF(OR(AND(Table1[[#This Row],[Diagnosis]]="Labour Complication",Table1[[#This Row],[Gender]]="M"), AND(Table1[[#This Row],[Diagnosis]]="Labour Complication",Table1[[#This Row],[Age]]&lt;15)),"Error","OK")</f>
        <v>OK</v>
      </c>
      <c r="S77" s="4">
        <f>Table1[[#This Row],[Bill_Amount]]+Table1[[#This Row],[Surgery_Cost]]</f>
        <v>278619</v>
      </c>
    </row>
    <row r="78" spans="1:19" x14ac:dyDescent="0.35">
      <c r="A78" s="19" t="s">
        <v>96</v>
      </c>
      <c r="B78" s="20" t="s">
        <v>596</v>
      </c>
      <c r="C78" s="21">
        <v>43</v>
      </c>
      <c r="D78" s="20" t="s">
        <v>1058</v>
      </c>
      <c r="E78" s="20" t="s">
        <v>1020</v>
      </c>
      <c r="F78" s="20" t="s">
        <v>1027</v>
      </c>
      <c r="G78" s="20" t="s">
        <v>1043</v>
      </c>
      <c r="H78" s="29">
        <v>45771</v>
      </c>
      <c r="I78" s="29">
        <v>45774</v>
      </c>
      <c r="J78" s="24">
        <v>398251</v>
      </c>
      <c r="K78" s="21">
        <v>5</v>
      </c>
      <c r="L78" s="21">
        <v>5</v>
      </c>
      <c r="M78" s="21">
        <v>1</v>
      </c>
      <c r="N78" s="24">
        <v>0</v>
      </c>
      <c r="O78" s="21">
        <v>3</v>
      </c>
      <c r="P78" t="str">
        <f t="shared" si="2"/>
        <v>Adults</v>
      </c>
      <c r="Q78" t="str">
        <f t="shared" si="3"/>
        <v>High</v>
      </c>
      <c r="R78" t="str">
        <f>IF(OR(AND(Table1[[#This Row],[Diagnosis]]="Labour Complication",Table1[[#This Row],[Gender]]="M"), AND(Table1[[#This Row],[Diagnosis]]="Labour Complication",Table1[[#This Row],[Age]]&lt;15)),"Error","OK")</f>
        <v>OK</v>
      </c>
      <c r="S78" s="4">
        <f>Table1[[#This Row],[Bill_Amount]]+Table1[[#This Row],[Surgery_Cost]]</f>
        <v>398251</v>
      </c>
    </row>
    <row r="79" spans="1:19" x14ac:dyDescent="0.35">
      <c r="A79" s="16" t="s">
        <v>97</v>
      </c>
      <c r="B79" s="17" t="s">
        <v>597</v>
      </c>
      <c r="C79" s="18">
        <v>40</v>
      </c>
      <c r="D79" s="17" t="s">
        <v>1058</v>
      </c>
      <c r="E79" s="17" t="s">
        <v>1016</v>
      </c>
      <c r="F79" s="17" t="s">
        <v>1023</v>
      </c>
      <c r="G79" s="17" t="s">
        <v>1040</v>
      </c>
      <c r="H79" s="30">
        <v>45762</v>
      </c>
      <c r="I79" s="30">
        <v>45768</v>
      </c>
      <c r="J79" s="25">
        <v>315878</v>
      </c>
      <c r="K79" s="18">
        <v>4</v>
      </c>
      <c r="L79" s="18">
        <v>2</v>
      </c>
      <c r="M79" s="18">
        <v>4</v>
      </c>
      <c r="N79" s="25">
        <v>0</v>
      </c>
      <c r="O79" s="18">
        <v>6</v>
      </c>
      <c r="P79" t="str">
        <f t="shared" si="2"/>
        <v>Adults</v>
      </c>
      <c r="Q79" t="str">
        <f t="shared" si="3"/>
        <v>High</v>
      </c>
      <c r="R79" t="str">
        <f>IF(OR(AND(Table1[[#This Row],[Diagnosis]]="Labour Complication",Table1[[#This Row],[Gender]]="M"), AND(Table1[[#This Row],[Diagnosis]]="Labour Complication",Table1[[#This Row],[Age]]&lt;15)),"Error","OK")</f>
        <v>OK</v>
      </c>
      <c r="S79" s="4">
        <f>Table1[[#This Row],[Bill_Amount]]+Table1[[#This Row],[Surgery_Cost]]</f>
        <v>315878</v>
      </c>
    </row>
    <row r="80" spans="1:19" x14ac:dyDescent="0.35">
      <c r="A80" s="19" t="s">
        <v>98</v>
      </c>
      <c r="B80" s="20" t="s">
        <v>598</v>
      </c>
      <c r="C80" s="21">
        <v>71</v>
      </c>
      <c r="D80" s="20" t="s">
        <v>1057</v>
      </c>
      <c r="E80" s="20" t="s">
        <v>1020</v>
      </c>
      <c r="F80" s="20" t="s">
        <v>1027</v>
      </c>
      <c r="G80" s="20" t="s">
        <v>1043</v>
      </c>
      <c r="H80" s="29">
        <v>45777</v>
      </c>
      <c r="I80" s="29">
        <v>45790</v>
      </c>
      <c r="J80" s="24">
        <v>205008</v>
      </c>
      <c r="K80" s="21">
        <v>5</v>
      </c>
      <c r="L80" s="21">
        <v>14</v>
      </c>
      <c r="M80" s="21">
        <v>1</v>
      </c>
      <c r="N80" s="24">
        <v>0</v>
      </c>
      <c r="O80" s="21">
        <v>13</v>
      </c>
      <c r="P80" t="str">
        <f t="shared" si="2"/>
        <v>Older Adults</v>
      </c>
      <c r="Q80" t="str">
        <f t="shared" si="3"/>
        <v>High</v>
      </c>
      <c r="R80" t="str">
        <f>IF(OR(AND(Table1[[#This Row],[Diagnosis]]="Labour Complication",Table1[[#This Row],[Gender]]="M"), AND(Table1[[#This Row],[Diagnosis]]="Labour Complication",Table1[[#This Row],[Age]]&lt;15)),"Error","OK")</f>
        <v>OK</v>
      </c>
      <c r="S80" s="4">
        <f>Table1[[#This Row],[Bill_Amount]]+Table1[[#This Row],[Surgery_Cost]]</f>
        <v>205008</v>
      </c>
    </row>
    <row r="81" spans="1:19" x14ac:dyDescent="0.35">
      <c r="A81" s="16" t="s">
        <v>99</v>
      </c>
      <c r="B81" s="17" t="s">
        <v>599</v>
      </c>
      <c r="C81" s="18">
        <v>87</v>
      </c>
      <c r="D81" s="17" t="s">
        <v>1057</v>
      </c>
      <c r="E81" s="17" t="s">
        <v>1020</v>
      </c>
      <c r="F81" s="17" t="s">
        <v>1027</v>
      </c>
      <c r="G81" s="17" t="s">
        <v>1034</v>
      </c>
      <c r="H81" s="30">
        <v>45748</v>
      </c>
      <c r="I81" s="30">
        <v>45760</v>
      </c>
      <c r="J81" s="25">
        <v>248781</v>
      </c>
      <c r="K81" s="18">
        <v>6</v>
      </c>
      <c r="L81" s="18">
        <v>4</v>
      </c>
      <c r="M81" s="18">
        <v>1</v>
      </c>
      <c r="N81" s="25">
        <v>0</v>
      </c>
      <c r="O81" s="18">
        <v>12</v>
      </c>
      <c r="P81" t="str">
        <f t="shared" si="2"/>
        <v>Older Adults</v>
      </c>
      <c r="Q81" t="str">
        <f t="shared" si="3"/>
        <v>High</v>
      </c>
      <c r="R81" t="str">
        <f>IF(OR(AND(Table1[[#This Row],[Diagnosis]]="Labour Complication",Table1[[#This Row],[Gender]]="M"), AND(Table1[[#This Row],[Diagnosis]]="Labour Complication",Table1[[#This Row],[Age]]&lt;15)),"Error","OK")</f>
        <v>OK</v>
      </c>
      <c r="S81" s="4">
        <f>Table1[[#This Row],[Bill_Amount]]+Table1[[#This Row],[Surgery_Cost]]</f>
        <v>248781</v>
      </c>
    </row>
    <row r="82" spans="1:19" x14ac:dyDescent="0.35">
      <c r="A82" s="19" t="s">
        <v>100</v>
      </c>
      <c r="B82" s="20" t="s">
        <v>600</v>
      </c>
      <c r="C82" s="21">
        <v>1</v>
      </c>
      <c r="D82" s="20" t="s">
        <v>1058</v>
      </c>
      <c r="E82" s="20" t="s">
        <v>1020</v>
      </c>
      <c r="F82" s="20" t="s">
        <v>1027</v>
      </c>
      <c r="G82" s="20" t="s">
        <v>1034</v>
      </c>
      <c r="H82" s="29">
        <v>45747</v>
      </c>
      <c r="I82" s="29">
        <v>45757</v>
      </c>
      <c r="J82" s="24">
        <v>487112</v>
      </c>
      <c r="K82" s="21">
        <v>3</v>
      </c>
      <c r="L82" s="21">
        <v>12</v>
      </c>
      <c r="M82" s="21">
        <v>4</v>
      </c>
      <c r="N82" s="24">
        <v>0</v>
      </c>
      <c r="O82" s="21">
        <v>10</v>
      </c>
      <c r="P82" t="str">
        <f t="shared" si="2"/>
        <v>Children</v>
      </c>
      <c r="Q82" t="str">
        <f t="shared" si="3"/>
        <v>High</v>
      </c>
      <c r="R82" t="str">
        <f>IF(OR(AND(Table1[[#This Row],[Diagnosis]]="Labour Complication",Table1[[#This Row],[Gender]]="M"), AND(Table1[[#This Row],[Diagnosis]]="Labour Complication",Table1[[#This Row],[Age]]&lt;15)),"Error","OK")</f>
        <v>OK</v>
      </c>
      <c r="S82" s="4">
        <f>Table1[[#This Row],[Bill_Amount]]+Table1[[#This Row],[Surgery_Cost]]</f>
        <v>487112</v>
      </c>
    </row>
    <row r="83" spans="1:19" x14ac:dyDescent="0.35">
      <c r="A83" s="19" t="s">
        <v>102</v>
      </c>
      <c r="B83" s="20" t="s">
        <v>602</v>
      </c>
      <c r="C83" s="21">
        <v>28</v>
      </c>
      <c r="D83" s="20" t="s">
        <v>1058</v>
      </c>
      <c r="E83" s="20" t="s">
        <v>1020</v>
      </c>
      <c r="F83" s="20" t="s">
        <v>1027</v>
      </c>
      <c r="G83" s="20" t="s">
        <v>1043</v>
      </c>
      <c r="H83" s="29">
        <v>45790</v>
      </c>
      <c r="I83" s="29">
        <v>45799</v>
      </c>
      <c r="J83" s="24">
        <v>404223</v>
      </c>
      <c r="K83" s="21">
        <v>3</v>
      </c>
      <c r="L83" s="21">
        <v>4</v>
      </c>
      <c r="M83" s="21">
        <v>4</v>
      </c>
      <c r="N83" s="24">
        <v>0</v>
      </c>
      <c r="O83" s="21">
        <v>9</v>
      </c>
      <c r="P83" t="str">
        <f t="shared" si="2"/>
        <v>Adults</v>
      </c>
      <c r="Q83" t="str">
        <f t="shared" si="3"/>
        <v>High</v>
      </c>
      <c r="R83" t="str">
        <f>IF(OR(AND(Table1[[#This Row],[Diagnosis]]="Labour Complication",Table1[[#This Row],[Gender]]="M"), AND(Table1[[#This Row],[Diagnosis]]="Labour Complication",Table1[[#This Row],[Age]]&lt;15)),"Error","OK")</f>
        <v>OK</v>
      </c>
      <c r="S83" s="4">
        <f>Table1[[#This Row],[Bill_Amount]]+Table1[[#This Row],[Surgery_Cost]]</f>
        <v>404223</v>
      </c>
    </row>
    <row r="84" spans="1:19" x14ac:dyDescent="0.35">
      <c r="A84" s="16" t="s">
        <v>103</v>
      </c>
      <c r="B84" s="17" t="s">
        <v>603</v>
      </c>
      <c r="C84" s="18">
        <v>66</v>
      </c>
      <c r="D84" s="17" t="s">
        <v>1058</v>
      </c>
      <c r="E84" s="17" t="s">
        <v>1016</v>
      </c>
      <c r="F84" s="17" t="s">
        <v>1023</v>
      </c>
      <c r="G84" s="17" t="s">
        <v>1030</v>
      </c>
      <c r="H84" s="30">
        <v>45747</v>
      </c>
      <c r="I84" s="30">
        <v>45750</v>
      </c>
      <c r="J84" s="25">
        <v>198785</v>
      </c>
      <c r="K84" s="18">
        <v>6</v>
      </c>
      <c r="L84" s="18">
        <v>10</v>
      </c>
      <c r="M84" s="18">
        <v>4</v>
      </c>
      <c r="N84" s="25">
        <v>0</v>
      </c>
      <c r="O84" s="18">
        <v>3</v>
      </c>
      <c r="P84" t="str">
        <f t="shared" si="2"/>
        <v>Older Adults</v>
      </c>
      <c r="Q84" t="str">
        <f t="shared" si="3"/>
        <v>High</v>
      </c>
      <c r="R84" t="str">
        <f>IF(OR(AND(Table1[[#This Row],[Diagnosis]]="Labour Complication",Table1[[#This Row],[Gender]]="M"), AND(Table1[[#This Row],[Diagnosis]]="Labour Complication",Table1[[#This Row],[Age]]&lt;15)),"Error","OK")</f>
        <v>OK</v>
      </c>
      <c r="S84" s="4">
        <f>Table1[[#This Row],[Bill_Amount]]+Table1[[#This Row],[Surgery_Cost]]</f>
        <v>198785</v>
      </c>
    </row>
    <row r="85" spans="1:19" x14ac:dyDescent="0.35">
      <c r="A85" s="19" t="s">
        <v>104</v>
      </c>
      <c r="B85" s="20" t="s">
        <v>604</v>
      </c>
      <c r="C85" s="21">
        <v>87</v>
      </c>
      <c r="D85" s="20" t="s">
        <v>1058</v>
      </c>
      <c r="E85" s="20" t="s">
        <v>1022</v>
      </c>
      <c r="F85" s="20" t="s">
        <v>1029</v>
      </c>
      <c r="G85" s="20" t="s">
        <v>1039</v>
      </c>
      <c r="H85" s="29">
        <v>45792</v>
      </c>
      <c r="I85" s="29">
        <v>45806</v>
      </c>
      <c r="J85" s="24">
        <v>173138</v>
      </c>
      <c r="K85" s="21">
        <v>1</v>
      </c>
      <c r="L85" s="21">
        <v>11</v>
      </c>
      <c r="M85" s="21">
        <v>4</v>
      </c>
      <c r="N85" s="24">
        <v>0</v>
      </c>
      <c r="O85" s="21">
        <v>14</v>
      </c>
      <c r="P85" t="str">
        <f t="shared" si="2"/>
        <v>Older Adults</v>
      </c>
      <c r="Q85" t="str">
        <f t="shared" si="3"/>
        <v>High</v>
      </c>
      <c r="R85" t="str">
        <f>IF(OR(AND(Table1[[#This Row],[Diagnosis]]="Labour Complication",Table1[[#This Row],[Gender]]="M"), AND(Table1[[#This Row],[Diagnosis]]="Labour Complication",Table1[[#This Row],[Age]]&lt;15)),"Error","OK")</f>
        <v>OK</v>
      </c>
      <c r="S85" s="4">
        <f>Table1[[#This Row],[Bill_Amount]]+Table1[[#This Row],[Surgery_Cost]]</f>
        <v>173138</v>
      </c>
    </row>
    <row r="86" spans="1:19" x14ac:dyDescent="0.35">
      <c r="A86" s="16" t="s">
        <v>105</v>
      </c>
      <c r="B86" s="17" t="s">
        <v>605</v>
      </c>
      <c r="C86" s="18">
        <v>4</v>
      </c>
      <c r="D86" s="17" t="s">
        <v>1057</v>
      </c>
      <c r="E86" s="17" t="s">
        <v>1022</v>
      </c>
      <c r="F86" s="17" t="s">
        <v>1029</v>
      </c>
      <c r="G86" s="17" t="s">
        <v>1039</v>
      </c>
      <c r="H86" s="30">
        <v>45764</v>
      </c>
      <c r="I86" s="30">
        <v>45769</v>
      </c>
      <c r="J86" s="25">
        <v>127255</v>
      </c>
      <c r="K86" s="18">
        <v>6</v>
      </c>
      <c r="L86" s="18">
        <v>6</v>
      </c>
      <c r="M86" s="18">
        <v>2</v>
      </c>
      <c r="N86" s="25">
        <v>0</v>
      </c>
      <c r="O86" s="18">
        <v>5</v>
      </c>
      <c r="P86" t="str">
        <f t="shared" si="2"/>
        <v>Children</v>
      </c>
      <c r="Q86" t="str">
        <f t="shared" si="3"/>
        <v>Medium</v>
      </c>
      <c r="R86" t="str">
        <f>IF(OR(AND(Table1[[#This Row],[Diagnosis]]="Labour Complication",Table1[[#This Row],[Gender]]="M"), AND(Table1[[#This Row],[Diagnosis]]="Labour Complication",Table1[[#This Row],[Age]]&lt;15)),"Error","OK")</f>
        <v>OK</v>
      </c>
      <c r="S86" s="4">
        <f>Table1[[#This Row],[Bill_Amount]]+Table1[[#This Row],[Surgery_Cost]]</f>
        <v>127255</v>
      </c>
    </row>
    <row r="87" spans="1:19" x14ac:dyDescent="0.35">
      <c r="A87" s="19" t="s">
        <v>106</v>
      </c>
      <c r="B87" s="20" t="s">
        <v>606</v>
      </c>
      <c r="C87" s="21">
        <v>10</v>
      </c>
      <c r="D87" s="20" t="s">
        <v>1058</v>
      </c>
      <c r="E87" s="20" t="s">
        <v>1020</v>
      </c>
      <c r="F87" s="20" t="s">
        <v>1027</v>
      </c>
      <c r="G87" s="20" t="s">
        <v>1034</v>
      </c>
      <c r="H87" s="29">
        <v>45757</v>
      </c>
      <c r="I87" s="29">
        <v>45768</v>
      </c>
      <c r="J87" s="24">
        <v>495507</v>
      </c>
      <c r="K87" s="21">
        <v>4</v>
      </c>
      <c r="L87" s="21">
        <v>9</v>
      </c>
      <c r="M87" s="21">
        <v>3</v>
      </c>
      <c r="N87" s="24">
        <v>0</v>
      </c>
      <c r="O87" s="21">
        <v>11</v>
      </c>
      <c r="P87" t="str">
        <f t="shared" si="2"/>
        <v>Children</v>
      </c>
      <c r="Q87" t="str">
        <f t="shared" si="3"/>
        <v>High</v>
      </c>
      <c r="R87" t="str">
        <f>IF(OR(AND(Table1[[#This Row],[Diagnosis]]="Labour Complication",Table1[[#This Row],[Gender]]="M"), AND(Table1[[#This Row],[Diagnosis]]="Labour Complication",Table1[[#This Row],[Age]]&lt;15)),"Error","OK")</f>
        <v>OK</v>
      </c>
      <c r="S87" s="4">
        <f>Table1[[#This Row],[Bill_Amount]]+Table1[[#This Row],[Surgery_Cost]]</f>
        <v>495507</v>
      </c>
    </row>
    <row r="88" spans="1:19" x14ac:dyDescent="0.35">
      <c r="A88" s="16" t="s">
        <v>107</v>
      </c>
      <c r="B88" s="17" t="s">
        <v>607</v>
      </c>
      <c r="C88" s="18">
        <v>90</v>
      </c>
      <c r="D88" s="17" t="s">
        <v>1058</v>
      </c>
      <c r="E88" s="17" t="s">
        <v>1016</v>
      </c>
      <c r="F88" s="17" t="s">
        <v>1023</v>
      </c>
      <c r="G88" s="17" t="s">
        <v>1040</v>
      </c>
      <c r="H88" s="30">
        <v>45747</v>
      </c>
      <c r="I88" s="30">
        <v>45758</v>
      </c>
      <c r="J88" s="25">
        <v>151940</v>
      </c>
      <c r="K88" s="18">
        <v>6</v>
      </c>
      <c r="L88" s="18">
        <v>8</v>
      </c>
      <c r="M88" s="18">
        <v>1</v>
      </c>
      <c r="N88" s="25">
        <v>0</v>
      </c>
      <c r="O88" s="18">
        <v>11</v>
      </c>
      <c r="P88" t="str">
        <f t="shared" si="2"/>
        <v>Older Adults</v>
      </c>
      <c r="Q88" t="str">
        <f t="shared" si="3"/>
        <v>High</v>
      </c>
      <c r="R88" t="str">
        <f>IF(OR(AND(Table1[[#This Row],[Diagnosis]]="Labour Complication",Table1[[#This Row],[Gender]]="M"), AND(Table1[[#This Row],[Diagnosis]]="Labour Complication",Table1[[#This Row],[Age]]&lt;15)),"Error","OK")</f>
        <v>OK</v>
      </c>
      <c r="S88" s="4">
        <f>Table1[[#This Row],[Bill_Amount]]+Table1[[#This Row],[Surgery_Cost]]</f>
        <v>151940</v>
      </c>
    </row>
    <row r="89" spans="1:19" x14ac:dyDescent="0.35">
      <c r="A89" s="19" t="s">
        <v>108</v>
      </c>
      <c r="B89" s="20" t="s">
        <v>608</v>
      </c>
      <c r="C89" s="21">
        <v>84</v>
      </c>
      <c r="D89" s="20" t="s">
        <v>1057</v>
      </c>
      <c r="E89" s="20" t="s">
        <v>1020</v>
      </c>
      <c r="F89" s="20" t="s">
        <v>1027</v>
      </c>
      <c r="G89" s="20" t="s">
        <v>1043</v>
      </c>
      <c r="H89" s="29">
        <v>45802</v>
      </c>
      <c r="I89" s="29">
        <v>45807</v>
      </c>
      <c r="J89" s="24">
        <v>127369</v>
      </c>
      <c r="K89" s="21">
        <v>9</v>
      </c>
      <c r="L89" s="21">
        <v>6</v>
      </c>
      <c r="M89" s="21">
        <v>2</v>
      </c>
      <c r="N89" s="24">
        <v>0</v>
      </c>
      <c r="O89" s="21">
        <v>5</v>
      </c>
      <c r="P89" t="str">
        <f t="shared" si="2"/>
        <v>Older Adults</v>
      </c>
      <c r="Q89" t="str">
        <f t="shared" si="3"/>
        <v>Medium</v>
      </c>
      <c r="R89" t="str">
        <f>IF(OR(AND(Table1[[#This Row],[Diagnosis]]="Labour Complication",Table1[[#This Row],[Gender]]="M"), AND(Table1[[#This Row],[Diagnosis]]="Labour Complication",Table1[[#This Row],[Age]]&lt;15)),"Error","OK")</f>
        <v>OK</v>
      </c>
      <c r="S89" s="4">
        <f>Table1[[#This Row],[Bill_Amount]]+Table1[[#This Row],[Surgery_Cost]]</f>
        <v>127369</v>
      </c>
    </row>
    <row r="90" spans="1:19" x14ac:dyDescent="0.35">
      <c r="A90" s="16" t="s">
        <v>109</v>
      </c>
      <c r="B90" s="17" t="s">
        <v>609</v>
      </c>
      <c r="C90" s="18">
        <v>23</v>
      </c>
      <c r="D90" s="17" t="s">
        <v>1058</v>
      </c>
      <c r="E90" s="17" t="s">
        <v>1022</v>
      </c>
      <c r="F90" s="17" t="s">
        <v>1029</v>
      </c>
      <c r="G90" s="17" t="s">
        <v>1039</v>
      </c>
      <c r="H90" s="30">
        <v>45781</v>
      </c>
      <c r="I90" s="30">
        <v>45789</v>
      </c>
      <c r="J90" s="25">
        <v>164735</v>
      </c>
      <c r="K90" s="18">
        <v>2</v>
      </c>
      <c r="L90" s="18">
        <v>14</v>
      </c>
      <c r="M90" s="18">
        <v>4</v>
      </c>
      <c r="N90" s="25">
        <v>0</v>
      </c>
      <c r="O90" s="18">
        <v>8</v>
      </c>
      <c r="P90" t="str">
        <f t="shared" si="2"/>
        <v>Adults</v>
      </c>
      <c r="Q90" t="str">
        <f t="shared" si="3"/>
        <v>High</v>
      </c>
      <c r="R90" t="str">
        <f>IF(OR(AND(Table1[[#This Row],[Diagnosis]]="Labour Complication",Table1[[#This Row],[Gender]]="M"), AND(Table1[[#This Row],[Diagnosis]]="Labour Complication",Table1[[#This Row],[Age]]&lt;15)),"Error","OK")</f>
        <v>OK</v>
      </c>
      <c r="S90" s="4">
        <f>Table1[[#This Row],[Bill_Amount]]+Table1[[#This Row],[Surgery_Cost]]</f>
        <v>164735</v>
      </c>
    </row>
    <row r="91" spans="1:19" x14ac:dyDescent="0.35">
      <c r="A91" s="19" t="s">
        <v>110</v>
      </c>
      <c r="B91" s="20" t="s">
        <v>610</v>
      </c>
      <c r="C91" s="21">
        <v>16</v>
      </c>
      <c r="D91" s="20" t="s">
        <v>1058</v>
      </c>
      <c r="E91" s="20" t="s">
        <v>1019</v>
      </c>
      <c r="F91" s="20" t="s">
        <v>1026</v>
      </c>
      <c r="G91" s="20" t="s">
        <v>1033</v>
      </c>
      <c r="H91" s="29">
        <v>45776</v>
      </c>
      <c r="I91" s="29">
        <v>45781</v>
      </c>
      <c r="J91" s="24">
        <v>494772</v>
      </c>
      <c r="K91" s="21">
        <v>1</v>
      </c>
      <c r="L91" s="21">
        <v>16</v>
      </c>
      <c r="M91" s="21">
        <v>3</v>
      </c>
      <c r="N91" s="24">
        <v>0</v>
      </c>
      <c r="O91" s="21">
        <v>5</v>
      </c>
      <c r="P91" t="str">
        <f t="shared" si="2"/>
        <v>Teenagers</v>
      </c>
      <c r="Q91" t="str">
        <f t="shared" si="3"/>
        <v>High</v>
      </c>
      <c r="R91" t="str">
        <f>IF(OR(AND(Table1[[#This Row],[Diagnosis]]="Labour Complication",Table1[[#This Row],[Gender]]="M"), AND(Table1[[#This Row],[Diagnosis]]="Labour Complication",Table1[[#This Row],[Age]]&lt;15)),"Error","OK")</f>
        <v>OK</v>
      </c>
      <c r="S91" s="4">
        <f>Table1[[#This Row],[Bill_Amount]]+Table1[[#This Row],[Surgery_Cost]]</f>
        <v>494772</v>
      </c>
    </row>
    <row r="92" spans="1:19" x14ac:dyDescent="0.35">
      <c r="A92" s="16" t="s">
        <v>111</v>
      </c>
      <c r="B92" s="17" t="s">
        <v>611</v>
      </c>
      <c r="C92" s="18">
        <v>68</v>
      </c>
      <c r="D92" s="17" t="s">
        <v>1058</v>
      </c>
      <c r="E92" s="17" t="s">
        <v>1022</v>
      </c>
      <c r="F92" s="17" t="s">
        <v>1029</v>
      </c>
      <c r="G92" s="17" t="s">
        <v>1041</v>
      </c>
      <c r="H92" s="30">
        <v>45797</v>
      </c>
      <c r="I92" s="30">
        <v>45806</v>
      </c>
      <c r="J92" s="25">
        <v>400002</v>
      </c>
      <c r="K92" s="18">
        <v>7</v>
      </c>
      <c r="L92" s="18">
        <v>12</v>
      </c>
      <c r="M92" s="18">
        <v>2</v>
      </c>
      <c r="N92" s="25">
        <v>0</v>
      </c>
      <c r="O92" s="18">
        <v>9</v>
      </c>
      <c r="P92" t="str">
        <f t="shared" si="2"/>
        <v>Older Adults</v>
      </c>
      <c r="Q92" t="str">
        <f t="shared" si="3"/>
        <v>High</v>
      </c>
      <c r="R92" t="str">
        <f>IF(OR(AND(Table1[[#This Row],[Diagnosis]]="Labour Complication",Table1[[#This Row],[Gender]]="M"), AND(Table1[[#This Row],[Diagnosis]]="Labour Complication",Table1[[#This Row],[Age]]&lt;15)),"Error","OK")</f>
        <v>OK</v>
      </c>
      <c r="S92" s="4">
        <f>Table1[[#This Row],[Bill_Amount]]+Table1[[#This Row],[Surgery_Cost]]</f>
        <v>400002</v>
      </c>
    </row>
    <row r="93" spans="1:19" x14ac:dyDescent="0.35">
      <c r="A93" s="19" t="s">
        <v>112</v>
      </c>
      <c r="B93" s="20" t="s">
        <v>612</v>
      </c>
      <c r="C93" s="21">
        <v>65</v>
      </c>
      <c r="D93" s="20" t="s">
        <v>1058</v>
      </c>
      <c r="E93" s="20" t="s">
        <v>1019</v>
      </c>
      <c r="F93" s="20" t="s">
        <v>1026</v>
      </c>
      <c r="G93" s="20" t="s">
        <v>1038</v>
      </c>
      <c r="H93" s="29">
        <v>45780</v>
      </c>
      <c r="I93" s="29">
        <v>45795</v>
      </c>
      <c r="J93" s="24">
        <v>427106</v>
      </c>
      <c r="K93" s="21">
        <v>5</v>
      </c>
      <c r="L93" s="21">
        <v>18</v>
      </c>
      <c r="M93" s="21">
        <v>3</v>
      </c>
      <c r="N93" s="24">
        <v>0</v>
      </c>
      <c r="O93" s="21">
        <v>15</v>
      </c>
      <c r="P93" t="str">
        <f t="shared" si="2"/>
        <v>Older Adults</v>
      </c>
      <c r="Q93" t="str">
        <f t="shared" si="3"/>
        <v>High</v>
      </c>
      <c r="R93" t="str">
        <f>IF(OR(AND(Table1[[#This Row],[Diagnosis]]="Labour Complication",Table1[[#This Row],[Gender]]="M"), AND(Table1[[#This Row],[Diagnosis]]="Labour Complication",Table1[[#This Row],[Age]]&lt;15)),"Error","OK")</f>
        <v>OK</v>
      </c>
      <c r="S93" s="4">
        <f>Table1[[#This Row],[Bill_Amount]]+Table1[[#This Row],[Surgery_Cost]]</f>
        <v>427106</v>
      </c>
    </row>
    <row r="94" spans="1:19" x14ac:dyDescent="0.35">
      <c r="A94" s="16" t="s">
        <v>113</v>
      </c>
      <c r="B94" s="17" t="s">
        <v>613</v>
      </c>
      <c r="C94" s="18">
        <v>58</v>
      </c>
      <c r="D94" s="17" t="s">
        <v>1058</v>
      </c>
      <c r="E94" s="17" t="s">
        <v>1017</v>
      </c>
      <c r="F94" s="17" t="s">
        <v>1024</v>
      </c>
      <c r="G94" s="17" t="s">
        <v>1042</v>
      </c>
      <c r="H94" s="30">
        <v>45765</v>
      </c>
      <c r="I94" s="30">
        <v>45778</v>
      </c>
      <c r="J94" s="25">
        <v>298866</v>
      </c>
      <c r="K94" s="18">
        <v>6</v>
      </c>
      <c r="L94" s="18">
        <v>16</v>
      </c>
      <c r="M94" s="18">
        <v>3</v>
      </c>
      <c r="N94" s="25">
        <v>0</v>
      </c>
      <c r="O94" s="18">
        <v>13</v>
      </c>
      <c r="P94" t="str">
        <f t="shared" si="2"/>
        <v>Adults</v>
      </c>
      <c r="Q94" t="str">
        <f t="shared" si="3"/>
        <v>High</v>
      </c>
      <c r="R94" t="str">
        <f>IF(OR(AND(Table1[[#This Row],[Diagnosis]]="Labour Complication",Table1[[#This Row],[Gender]]="M"), AND(Table1[[#This Row],[Diagnosis]]="Labour Complication",Table1[[#This Row],[Age]]&lt;15)),"Error","OK")</f>
        <v>OK</v>
      </c>
      <c r="S94" s="4">
        <f>Table1[[#This Row],[Bill_Amount]]+Table1[[#This Row],[Surgery_Cost]]</f>
        <v>298866</v>
      </c>
    </row>
    <row r="95" spans="1:19" x14ac:dyDescent="0.35">
      <c r="A95" s="19" t="s">
        <v>114</v>
      </c>
      <c r="B95" s="20" t="s">
        <v>614</v>
      </c>
      <c r="C95" s="21">
        <v>67</v>
      </c>
      <c r="D95" s="20" t="s">
        <v>1058</v>
      </c>
      <c r="E95" s="20" t="s">
        <v>1022</v>
      </c>
      <c r="F95" s="20" t="s">
        <v>1029</v>
      </c>
      <c r="G95" s="20" t="s">
        <v>1039</v>
      </c>
      <c r="H95" s="29">
        <v>45771</v>
      </c>
      <c r="I95" s="29">
        <v>45783</v>
      </c>
      <c r="J95" s="24">
        <v>195391</v>
      </c>
      <c r="K95" s="21">
        <v>1</v>
      </c>
      <c r="L95" s="21">
        <v>3</v>
      </c>
      <c r="M95" s="21">
        <v>2</v>
      </c>
      <c r="N95" s="24">
        <v>0</v>
      </c>
      <c r="O95" s="21">
        <v>12</v>
      </c>
      <c r="P95" t="str">
        <f t="shared" si="2"/>
        <v>Older Adults</v>
      </c>
      <c r="Q95" t="str">
        <f t="shared" si="3"/>
        <v>High</v>
      </c>
      <c r="R95" t="str">
        <f>IF(OR(AND(Table1[[#This Row],[Diagnosis]]="Labour Complication",Table1[[#This Row],[Gender]]="M"), AND(Table1[[#This Row],[Diagnosis]]="Labour Complication",Table1[[#This Row],[Age]]&lt;15)),"Error","OK")</f>
        <v>OK</v>
      </c>
      <c r="S95" s="4">
        <f>Table1[[#This Row],[Bill_Amount]]+Table1[[#This Row],[Surgery_Cost]]</f>
        <v>195391</v>
      </c>
    </row>
    <row r="96" spans="1:19" x14ac:dyDescent="0.35">
      <c r="A96" s="16" t="s">
        <v>115</v>
      </c>
      <c r="B96" s="17" t="s">
        <v>615</v>
      </c>
      <c r="C96" s="18">
        <v>37</v>
      </c>
      <c r="D96" s="17" t="s">
        <v>1057</v>
      </c>
      <c r="E96" s="17" t="s">
        <v>1021</v>
      </c>
      <c r="F96" s="17" t="s">
        <v>1028</v>
      </c>
      <c r="G96" s="17" t="s">
        <v>1036</v>
      </c>
      <c r="H96" s="30">
        <v>45750</v>
      </c>
      <c r="I96" s="30">
        <v>45759</v>
      </c>
      <c r="J96" s="25">
        <v>90623</v>
      </c>
      <c r="K96" s="18">
        <v>8</v>
      </c>
      <c r="L96" s="18">
        <v>17</v>
      </c>
      <c r="M96" s="18">
        <v>2</v>
      </c>
      <c r="N96" s="25">
        <v>199345</v>
      </c>
      <c r="O96" s="18">
        <v>9</v>
      </c>
      <c r="P96" t="str">
        <f t="shared" si="2"/>
        <v>Adults</v>
      </c>
      <c r="Q96" t="str">
        <f t="shared" si="3"/>
        <v>Low</v>
      </c>
      <c r="R96" t="str">
        <f>IF(OR(AND(Table1[[#This Row],[Diagnosis]]="Labour Complication",Table1[[#This Row],[Gender]]="M"), AND(Table1[[#This Row],[Diagnosis]]="Labour Complication",Table1[[#This Row],[Age]]&lt;15)),"Error","OK")</f>
        <v>OK</v>
      </c>
      <c r="S96" s="4">
        <f>Table1[[#This Row],[Bill_Amount]]+Table1[[#This Row],[Surgery_Cost]]</f>
        <v>289968</v>
      </c>
    </row>
    <row r="97" spans="1:19" x14ac:dyDescent="0.35">
      <c r="A97" s="19" t="s">
        <v>116</v>
      </c>
      <c r="B97" s="20" t="s">
        <v>616</v>
      </c>
      <c r="C97" s="21">
        <v>11</v>
      </c>
      <c r="D97" s="20" t="s">
        <v>1057</v>
      </c>
      <c r="E97" s="20" t="s">
        <v>1021</v>
      </c>
      <c r="F97" s="20" t="s">
        <v>1028</v>
      </c>
      <c r="G97" s="20" t="s">
        <v>1035</v>
      </c>
      <c r="H97" s="29">
        <v>45758</v>
      </c>
      <c r="I97" s="29">
        <v>45765</v>
      </c>
      <c r="J97" s="24">
        <v>333195</v>
      </c>
      <c r="K97" s="21">
        <v>4</v>
      </c>
      <c r="L97" s="21">
        <v>9</v>
      </c>
      <c r="M97" s="21">
        <v>4</v>
      </c>
      <c r="N97" s="24">
        <v>188818</v>
      </c>
      <c r="O97" s="21">
        <v>7</v>
      </c>
      <c r="P97" t="str">
        <f t="shared" si="2"/>
        <v>Children</v>
      </c>
      <c r="Q97" t="str">
        <f t="shared" si="3"/>
        <v>High</v>
      </c>
      <c r="R97" t="str">
        <f>IF(OR(AND(Table1[[#This Row],[Diagnosis]]="Labour Complication",Table1[[#This Row],[Gender]]="M"), AND(Table1[[#This Row],[Diagnosis]]="Labour Complication",Table1[[#This Row],[Age]]&lt;15)),"Error","OK")</f>
        <v>OK</v>
      </c>
      <c r="S97" s="4">
        <f>Table1[[#This Row],[Bill_Amount]]+Table1[[#This Row],[Surgery_Cost]]</f>
        <v>522013</v>
      </c>
    </row>
    <row r="98" spans="1:19" x14ac:dyDescent="0.35">
      <c r="A98" s="16" t="s">
        <v>117</v>
      </c>
      <c r="B98" s="17" t="s">
        <v>617</v>
      </c>
      <c r="C98" s="18">
        <v>20</v>
      </c>
      <c r="D98" s="17" t="s">
        <v>1057</v>
      </c>
      <c r="E98" s="17" t="s">
        <v>1017</v>
      </c>
      <c r="F98" s="17" t="s">
        <v>1024</v>
      </c>
      <c r="G98" s="17" t="s">
        <v>1042</v>
      </c>
      <c r="H98" s="30">
        <v>45779</v>
      </c>
      <c r="I98" s="30">
        <v>45787</v>
      </c>
      <c r="J98" s="25">
        <v>413829</v>
      </c>
      <c r="K98" s="18">
        <v>3</v>
      </c>
      <c r="L98" s="18">
        <v>1</v>
      </c>
      <c r="M98" s="18">
        <v>4</v>
      </c>
      <c r="N98" s="25">
        <v>0</v>
      </c>
      <c r="O98" s="18">
        <v>8</v>
      </c>
      <c r="P98" t="str">
        <f t="shared" si="2"/>
        <v>Adults</v>
      </c>
      <c r="Q98" t="str">
        <f t="shared" si="3"/>
        <v>High</v>
      </c>
      <c r="R98" t="str">
        <f>IF(OR(AND(Table1[[#This Row],[Diagnosis]]="Labour Complication",Table1[[#This Row],[Gender]]="M"), AND(Table1[[#This Row],[Diagnosis]]="Labour Complication",Table1[[#This Row],[Age]]&lt;15)),"Error","OK")</f>
        <v>OK</v>
      </c>
      <c r="S98" s="4">
        <f>Table1[[#This Row],[Bill_Amount]]+Table1[[#This Row],[Surgery_Cost]]</f>
        <v>413829</v>
      </c>
    </row>
    <row r="99" spans="1:19" x14ac:dyDescent="0.35">
      <c r="A99" s="19" t="s">
        <v>118</v>
      </c>
      <c r="B99" s="20" t="s">
        <v>618</v>
      </c>
      <c r="C99" s="21">
        <v>70</v>
      </c>
      <c r="D99" s="20" t="s">
        <v>1058</v>
      </c>
      <c r="E99" s="20" t="s">
        <v>1020</v>
      </c>
      <c r="F99" s="20" t="s">
        <v>1027</v>
      </c>
      <c r="G99" s="20" t="s">
        <v>1034</v>
      </c>
      <c r="H99" s="29">
        <v>45784</v>
      </c>
      <c r="I99" s="29">
        <v>45792</v>
      </c>
      <c r="J99" s="24">
        <v>223477</v>
      </c>
      <c r="K99" s="21">
        <v>1</v>
      </c>
      <c r="L99" s="21">
        <v>11</v>
      </c>
      <c r="M99" s="21">
        <v>1</v>
      </c>
      <c r="N99" s="24">
        <v>0</v>
      </c>
      <c r="O99" s="21">
        <v>8</v>
      </c>
      <c r="P99" t="str">
        <f t="shared" si="2"/>
        <v>Older Adults</v>
      </c>
      <c r="Q99" t="str">
        <f t="shared" si="3"/>
        <v>High</v>
      </c>
      <c r="R99" t="str">
        <f>IF(OR(AND(Table1[[#This Row],[Diagnosis]]="Labour Complication",Table1[[#This Row],[Gender]]="M"), AND(Table1[[#This Row],[Diagnosis]]="Labour Complication",Table1[[#This Row],[Age]]&lt;15)),"Error","OK")</f>
        <v>OK</v>
      </c>
      <c r="S99" s="4">
        <f>Table1[[#This Row],[Bill_Amount]]+Table1[[#This Row],[Surgery_Cost]]</f>
        <v>223477</v>
      </c>
    </row>
    <row r="100" spans="1:19" x14ac:dyDescent="0.35">
      <c r="A100" s="16" t="s">
        <v>119</v>
      </c>
      <c r="B100" s="17" t="s">
        <v>619</v>
      </c>
      <c r="C100" s="18">
        <v>54</v>
      </c>
      <c r="D100" s="17" t="s">
        <v>1058</v>
      </c>
      <c r="E100" s="17" t="s">
        <v>1018</v>
      </c>
      <c r="F100" s="17" t="s">
        <v>1025</v>
      </c>
      <c r="G100" s="17" t="s">
        <v>1032</v>
      </c>
      <c r="H100" s="30">
        <v>45765</v>
      </c>
      <c r="I100" s="30">
        <v>45770</v>
      </c>
      <c r="J100" s="25">
        <v>486674</v>
      </c>
      <c r="K100" s="18">
        <v>3</v>
      </c>
      <c r="L100" s="18">
        <v>1</v>
      </c>
      <c r="M100" s="18">
        <v>3</v>
      </c>
      <c r="N100" s="25">
        <v>0</v>
      </c>
      <c r="O100" s="18">
        <v>5</v>
      </c>
      <c r="P100" t="str">
        <f t="shared" si="2"/>
        <v>Adults</v>
      </c>
      <c r="Q100" t="str">
        <f t="shared" si="3"/>
        <v>High</v>
      </c>
      <c r="R100" t="str">
        <f>IF(OR(AND(Table1[[#This Row],[Diagnosis]]="Labour Complication",Table1[[#This Row],[Gender]]="M"), AND(Table1[[#This Row],[Diagnosis]]="Labour Complication",Table1[[#This Row],[Age]]&lt;15)),"Error","OK")</f>
        <v>OK</v>
      </c>
      <c r="S100" s="4">
        <f>Table1[[#This Row],[Bill_Amount]]+Table1[[#This Row],[Surgery_Cost]]</f>
        <v>486674</v>
      </c>
    </row>
    <row r="101" spans="1:19" x14ac:dyDescent="0.35">
      <c r="A101" s="19" t="s">
        <v>120</v>
      </c>
      <c r="B101" s="20" t="s">
        <v>620</v>
      </c>
      <c r="C101" s="21">
        <v>74</v>
      </c>
      <c r="D101" s="20" t="s">
        <v>1058</v>
      </c>
      <c r="E101" s="20" t="s">
        <v>1016</v>
      </c>
      <c r="F101" s="20" t="s">
        <v>1023</v>
      </c>
      <c r="G101" s="20" t="s">
        <v>1040</v>
      </c>
      <c r="H101" s="29">
        <v>45767</v>
      </c>
      <c r="I101" s="29">
        <v>45769</v>
      </c>
      <c r="J101" s="24">
        <v>499174</v>
      </c>
      <c r="K101" s="21">
        <v>2</v>
      </c>
      <c r="L101" s="21">
        <v>13</v>
      </c>
      <c r="M101" s="21">
        <v>3</v>
      </c>
      <c r="N101" s="24">
        <v>0</v>
      </c>
      <c r="O101" s="21">
        <v>2</v>
      </c>
      <c r="P101" t="str">
        <f t="shared" si="2"/>
        <v>Older Adults</v>
      </c>
      <c r="Q101" t="str">
        <f t="shared" si="3"/>
        <v>High</v>
      </c>
      <c r="R101" t="str">
        <f>IF(OR(AND(Table1[[#This Row],[Diagnosis]]="Labour Complication",Table1[[#This Row],[Gender]]="M"), AND(Table1[[#This Row],[Diagnosis]]="Labour Complication",Table1[[#This Row],[Age]]&lt;15)),"Error","OK")</f>
        <v>OK</v>
      </c>
      <c r="S101" s="4">
        <f>Table1[[#This Row],[Bill_Amount]]+Table1[[#This Row],[Surgery_Cost]]</f>
        <v>499174</v>
      </c>
    </row>
    <row r="102" spans="1:19" x14ac:dyDescent="0.35">
      <c r="A102" s="16" t="s">
        <v>121</v>
      </c>
      <c r="B102" s="17" t="s">
        <v>621</v>
      </c>
      <c r="C102" s="18">
        <v>50</v>
      </c>
      <c r="D102" s="17" t="s">
        <v>1058</v>
      </c>
      <c r="E102" s="17" t="s">
        <v>1018</v>
      </c>
      <c r="F102" s="17" t="s">
        <v>1025</v>
      </c>
      <c r="G102" s="17" t="s">
        <v>1032</v>
      </c>
      <c r="H102" s="30">
        <v>45791</v>
      </c>
      <c r="I102" s="30">
        <v>45798</v>
      </c>
      <c r="J102" s="25">
        <v>206559</v>
      </c>
      <c r="K102" s="18">
        <v>7</v>
      </c>
      <c r="L102" s="18">
        <v>1</v>
      </c>
      <c r="M102" s="18">
        <v>2</v>
      </c>
      <c r="N102" s="25">
        <v>0</v>
      </c>
      <c r="O102" s="18">
        <v>7</v>
      </c>
      <c r="P102" t="str">
        <f t="shared" si="2"/>
        <v>Adults</v>
      </c>
      <c r="Q102" t="str">
        <f t="shared" si="3"/>
        <v>High</v>
      </c>
      <c r="R102" t="str">
        <f>IF(OR(AND(Table1[[#This Row],[Diagnosis]]="Labour Complication",Table1[[#This Row],[Gender]]="M"), AND(Table1[[#This Row],[Diagnosis]]="Labour Complication",Table1[[#This Row],[Age]]&lt;15)),"Error","OK")</f>
        <v>OK</v>
      </c>
      <c r="S102" s="4">
        <f>Table1[[#This Row],[Bill_Amount]]+Table1[[#This Row],[Surgery_Cost]]</f>
        <v>206559</v>
      </c>
    </row>
    <row r="103" spans="1:19" x14ac:dyDescent="0.35">
      <c r="A103" s="19" t="s">
        <v>122</v>
      </c>
      <c r="B103" s="20" t="s">
        <v>622</v>
      </c>
      <c r="C103" s="21">
        <v>78</v>
      </c>
      <c r="D103" s="20" t="s">
        <v>1057</v>
      </c>
      <c r="E103" s="20" t="s">
        <v>1016</v>
      </c>
      <c r="F103" s="20" t="s">
        <v>1023</v>
      </c>
      <c r="G103" s="20" t="s">
        <v>1040</v>
      </c>
      <c r="H103" s="29">
        <v>45775</v>
      </c>
      <c r="I103" s="29">
        <v>45788</v>
      </c>
      <c r="J103" s="24">
        <v>336330</v>
      </c>
      <c r="K103" s="21">
        <v>3</v>
      </c>
      <c r="L103" s="21">
        <v>17</v>
      </c>
      <c r="M103" s="21">
        <v>3</v>
      </c>
      <c r="N103" s="24">
        <v>0</v>
      </c>
      <c r="O103" s="21">
        <v>13</v>
      </c>
      <c r="P103" t="str">
        <f t="shared" si="2"/>
        <v>Older Adults</v>
      </c>
      <c r="Q103" t="str">
        <f t="shared" si="3"/>
        <v>High</v>
      </c>
      <c r="R103" t="str">
        <f>IF(OR(AND(Table1[[#This Row],[Diagnosis]]="Labour Complication",Table1[[#This Row],[Gender]]="M"), AND(Table1[[#This Row],[Diagnosis]]="Labour Complication",Table1[[#This Row],[Age]]&lt;15)),"Error","OK")</f>
        <v>OK</v>
      </c>
      <c r="S103" s="4">
        <f>Table1[[#This Row],[Bill_Amount]]+Table1[[#This Row],[Surgery_Cost]]</f>
        <v>336330</v>
      </c>
    </row>
    <row r="104" spans="1:19" x14ac:dyDescent="0.35">
      <c r="A104" s="19" t="s">
        <v>124</v>
      </c>
      <c r="B104" s="20" t="s">
        <v>624</v>
      </c>
      <c r="C104" s="21">
        <v>52</v>
      </c>
      <c r="D104" s="20" t="s">
        <v>1057</v>
      </c>
      <c r="E104" s="20" t="s">
        <v>1021</v>
      </c>
      <c r="F104" s="20" t="s">
        <v>1028</v>
      </c>
      <c r="G104" s="20" t="s">
        <v>1036</v>
      </c>
      <c r="H104" s="29">
        <v>45747</v>
      </c>
      <c r="I104" s="29">
        <v>45759</v>
      </c>
      <c r="J104" s="24">
        <v>406065</v>
      </c>
      <c r="K104" s="21">
        <v>8</v>
      </c>
      <c r="L104" s="21">
        <v>3</v>
      </c>
      <c r="M104" s="21">
        <v>3</v>
      </c>
      <c r="N104" s="24">
        <v>243577</v>
      </c>
      <c r="O104" s="21">
        <v>12</v>
      </c>
      <c r="P104" t="str">
        <f t="shared" si="2"/>
        <v>Adults</v>
      </c>
      <c r="Q104" t="str">
        <f t="shared" si="3"/>
        <v>High</v>
      </c>
      <c r="R104" t="str">
        <f>IF(OR(AND(Table1[[#This Row],[Diagnosis]]="Labour Complication",Table1[[#This Row],[Gender]]="M"), AND(Table1[[#This Row],[Diagnosis]]="Labour Complication",Table1[[#This Row],[Age]]&lt;15)),"Error","OK")</f>
        <v>OK</v>
      </c>
      <c r="S104" s="4">
        <f>Table1[[#This Row],[Bill_Amount]]+Table1[[#This Row],[Surgery_Cost]]</f>
        <v>649642</v>
      </c>
    </row>
    <row r="105" spans="1:19" x14ac:dyDescent="0.35">
      <c r="A105" s="16" t="s">
        <v>125</v>
      </c>
      <c r="B105" s="17" t="s">
        <v>625</v>
      </c>
      <c r="C105" s="18">
        <v>4</v>
      </c>
      <c r="D105" s="17" t="s">
        <v>1058</v>
      </c>
      <c r="E105" s="17" t="s">
        <v>1017</v>
      </c>
      <c r="F105" s="17" t="s">
        <v>1024</v>
      </c>
      <c r="G105" s="17" t="s">
        <v>1042</v>
      </c>
      <c r="H105" s="30">
        <v>45795</v>
      </c>
      <c r="I105" s="30">
        <v>45806</v>
      </c>
      <c r="J105" s="25">
        <v>330034</v>
      </c>
      <c r="K105" s="18">
        <v>2</v>
      </c>
      <c r="L105" s="18">
        <v>6</v>
      </c>
      <c r="M105" s="18">
        <v>4</v>
      </c>
      <c r="N105" s="25">
        <v>0</v>
      </c>
      <c r="O105" s="18">
        <v>11</v>
      </c>
      <c r="P105" t="str">
        <f t="shared" si="2"/>
        <v>Children</v>
      </c>
      <c r="Q105" t="str">
        <f t="shared" si="3"/>
        <v>High</v>
      </c>
      <c r="R105" t="str">
        <f>IF(OR(AND(Table1[[#This Row],[Diagnosis]]="Labour Complication",Table1[[#This Row],[Gender]]="M"), AND(Table1[[#This Row],[Diagnosis]]="Labour Complication",Table1[[#This Row],[Age]]&lt;15)),"Error","OK")</f>
        <v>OK</v>
      </c>
      <c r="S105" s="4">
        <f>Table1[[#This Row],[Bill_Amount]]+Table1[[#This Row],[Surgery_Cost]]</f>
        <v>330034</v>
      </c>
    </row>
    <row r="106" spans="1:19" x14ac:dyDescent="0.35">
      <c r="A106" s="19" t="s">
        <v>126</v>
      </c>
      <c r="B106" s="20" t="s">
        <v>626</v>
      </c>
      <c r="C106" s="21">
        <v>18</v>
      </c>
      <c r="D106" s="20" t="s">
        <v>1058</v>
      </c>
      <c r="E106" s="20" t="s">
        <v>1018</v>
      </c>
      <c r="F106" s="20" t="s">
        <v>1025</v>
      </c>
      <c r="G106" s="20" t="s">
        <v>1044</v>
      </c>
      <c r="H106" s="29">
        <v>45801</v>
      </c>
      <c r="I106" s="29">
        <v>45813</v>
      </c>
      <c r="J106" s="24">
        <v>274716</v>
      </c>
      <c r="K106" s="21">
        <v>5</v>
      </c>
      <c r="L106" s="21">
        <v>14</v>
      </c>
      <c r="M106" s="21">
        <v>3</v>
      </c>
      <c r="N106" s="24">
        <v>0</v>
      </c>
      <c r="O106" s="21">
        <v>12</v>
      </c>
      <c r="P106" t="str">
        <f t="shared" si="2"/>
        <v>Teenagers</v>
      </c>
      <c r="Q106" t="str">
        <f t="shared" si="3"/>
        <v>High</v>
      </c>
      <c r="R106" t="str">
        <f>IF(OR(AND(Table1[[#This Row],[Diagnosis]]="Labour Complication",Table1[[#This Row],[Gender]]="M"), AND(Table1[[#This Row],[Diagnosis]]="Labour Complication",Table1[[#This Row],[Age]]&lt;15)),"Error","OK")</f>
        <v>OK</v>
      </c>
      <c r="S106" s="4">
        <f>Table1[[#This Row],[Bill_Amount]]+Table1[[#This Row],[Surgery_Cost]]</f>
        <v>274716</v>
      </c>
    </row>
    <row r="107" spans="1:19" x14ac:dyDescent="0.35">
      <c r="A107" s="16" t="s">
        <v>127</v>
      </c>
      <c r="B107" s="17" t="s">
        <v>627</v>
      </c>
      <c r="C107" s="18">
        <v>42</v>
      </c>
      <c r="D107" s="17" t="s">
        <v>1057</v>
      </c>
      <c r="E107" s="17" t="s">
        <v>1018</v>
      </c>
      <c r="F107" s="17" t="s">
        <v>1025</v>
      </c>
      <c r="G107" s="17" t="s">
        <v>1037</v>
      </c>
      <c r="H107" s="30">
        <v>45764</v>
      </c>
      <c r="I107" s="30">
        <v>45770</v>
      </c>
      <c r="J107" s="25">
        <v>248759</v>
      </c>
      <c r="K107" s="18">
        <v>5</v>
      </c>
      <c r="L107" s="18">
        <v>11</v>
      </c>
      <c r="M107" s="18">
        <v>2</v>
      </c>
      <c r="N107" s="25">
        <v>0</v>
      </c>
      <c r="O107" s="18">
        <v>6</v>
      </c>
      <c r="P107" t="str">
        <f t="shared" si="2"/>
        <v>Adults</v>
      </c>
      <c r="Q107" t="str">
        <f t="shared" si="3"/>
        <v>High</v>
      </c>
      <c r="R107" t="str">
        <f>IF(OR(AND(Table1[[#This Row],[Diagnosis]]="Labour Complication",Table1[[#This Row],[Gender]]="M"), AND(Table1[[#This Row],[Diagnosis]]="Labour Complication",Table1[[#This Row],[Age]]&lt;15)),"Error","OK")</f>
        <v>OK</v>
      </c>
      <c r="S107" s="4">
        <f>Table1[[#This Row],[Bill_Amount]]+Table1[[#This Row],[Surgery_Cost]]</f>
        <v>248759</v>
      </c>
    </row>
    <row r="108" spans="1:19" x14ac:dyDescent="0.35">
      <c r="A108" s="19" t="s">
        <v>128</v>
      </c>
      <c r="B108" s="20" t="s">
        <v>628</v>
      </c>
      <c r="C108" s="21">
        <v>49</v>
      </c>
      <c r="D108" s="20" t="s">
        <v>1058</v>
      </c>
      <c r="E108" s="20" t="s">
        <v>1021</v>
      </c>
      <c r="F108" s="20" t="s">
        <v>1028</v>
      </c>
      <c r="G108" s="20" t="s">
        <v>1036</v>
      </c>
      <c r="H108" s="29">
        <v>45764</v>
      </c>
      <c r="I108" s="29">
        <v>45771</v>
      </c>
      <c r="J108" s="24">
        <v>449103</v>
      </c>
      <c r="K108" s="21">
        <v>7</v>
      </c>
      <c r="L108" s="21">
        <v>9</v>
      </c>
      <c r="M108" s="21">
        <v>4</v>
      </c>
      <c r="N108" s="24">
        <v>249322</v>
      </c>
      <c r="O108" s="21">
        <v>7</v>
      </c>
      <c r="P108" t="str">
        <f t="shared" si="2"/>
        <v>Adults</v>
      </c>
      <c r="Q108" t="str">
        <f t="shared" si="3"/>
        <v>High</v>
      </c>
      <c r="R108" t="str">
        <f>IF(OR(AND(Table1[[#This Row],[Diagnosis]]="Labour Complication",Table1[[#This Row],[Gender]]="M"), AND(Table1[[#This Row],[Diagnosis]]="Labour Complication",Table1[[#This Row],[Age]]&lt;15)),"Error","OK")</f>
        <v>OK</v>
      </c>
      <c r="S108" s="4">
        <f>Table1[[#This Row],[Bill_Amount]]+Table1[[#This Row],[Surgery_Cost]]</f>
        <v>698425</v>
      </c>
    </row>
    <row r="109" spans="1:19" x14ac:dyDescent="0.35">
      <c r="A109" s="16" t="s">
        <v>129</v>
      </c>
      <c r="B109" s="17" t="s">
        <v>629</v>
      </c>
      <c r="C109" s="18">
        <v>61</v>
      </c>
      <c r="D109" s="17" t="s">
        <v>1057</v>
      </c>
      <c r="E109" s="17" t="s">
        <v>1021</v>
      </c>
      <c r="F109" s="17" t="s">
        <v>1028</v>
      </c>
      <c r="G109" s="17" t="s">
        <v>1035</v>
      </c>
      <c r="H109" s="30">
        <v>45759</v>
      </c>
      <c r="I109" s="30">
        <v>45774</v>
      </c>
      <c r="J109" s="25">
        <v>92942</v>
      </c>
      <c r="K109" s="18">
        <v>7</v>
      </c>
      <c r="L109" s="18">
        <v>10</v>
      </c>
      <c r="M109" s="18">
        <v>2</v>
      </c>
      <c r="N109" s="25">
        <v>247998</v>
      </c>
      <c r="O109" s="18">
        <v>15</v>
      </c>
      <c r="P109" t="str">
        <f t="shared" si="2"/>
        <v>Older Adults</v>
      </c>
      <c r="Q109" t="str">
        <f t="shared" si="3"/>
        <v>Low</v>
      </c>
      <c r="R109" t="str">
        <f>IF(OR(AND(Table1[[#This Row],[Diagnosis]]="Labour Complication",Table1[[#This Row],[Gender]]="M"), AND(Table1[[#This Row],[Diagnosis]]="Labour Complication",Table1[[#This Row],[Age]]&lt;15)),"Error","OK")</f>
        <v>OK</v>
      </c>
      <c r="S109" s="4">
        <f>Table1[[#This Row],[Bill_Amount]]+Table1[[#This Row],[Surgery_Cost]]</f>
        <v>340940</v>
      </c>
    </row>
    <row r="110" spans="1:19" x14ac:dyDescent="0.35">
      <c r="A110" s="19" t="s">
        <v>130</v>
      </c>
      <c r="B110" s="20" t="s">
        <v>630</v>
      </c>
      <c r="C110" s="21">
        <v>9</v>
      </c>
      <c r="D110" s="20" t="s">
        <v>1057</v>
      </c>
      <c r="E110" s="20" t="s">
        <v>1021</v>
      </c>
      <c r="F110" s="20" t="s">
        <v>1028</v>
      </c>
      <c r="G110" s="20" t="s">
        <v>1035</v>
      </c>
      <c r="H110" s="29">
        <v>45776</v>
      </c>
      <c r="I110" s="29">
        <v>45781</v>
      </c>
      <c r="J110" s="24">
        <v>390862</v>
      </c>
      <c r="K110" s="21">
        <v>5</v>
      </c>
      <c r="L110" s="21">
        <v>1</v>
      </c>
      <c r="M110" s="21">
        <v>2</v>
      </c>
      <c r="N110" s="24">
        <v>182591</v>
      </c>
      <c r="O110" s="21">
        <v>5</v>
      </c>
      <c r="P110" t="str">
        <f t="shared" si="2"/>
        <v>Children</v>
      </c>
      <c r="Q110" t="str">
        <f t="shared" si="3"/>
        <v>High</v>
      </c>
      <c r="R110" t="str">
        <f>IF(OR(AND(Table1[[#This Row],[Diagnosis]]="Labour Complication",Table1[[#This Row],[Gender]]="M"), AND(Table1[[#This Row],[Diagnosis]]="Labour Complication",Table1[[#This Row],[Age]]&lt;15)),"Error","OK")</f>
        <v>OK</v>
      </c>
      <c r="S110" s="4">
        <f>Table1[[#This Row],[Bill_Amount]]+Table1[[#This Row],[Surgery_Cost]]</f>
        <v>573453</v>
      </c>
    </row>
    <row r="111" spans="1:19" x14ac:dyDescent="0.35">
      <c r="A111" s="16" t="s">
        <v>131</v>
      </c>
      <c r="B111" s="17" t="s">
        <v>631</v>
      </c>
      <c r="C111" s="18">
        <v>3</v>
      </c>
      <c r="D111" s="17" t="s">
        <v>1057</v>
      </c>
      <c r="E111" s="17" t="s">
        <v>1017</v>
      </c>
      <c r="F111" s="17" t="s">
        <v>1024</v>
      </c>
      <c r="G111" s="17" t="s">
        <v>1042</v>
      </c>
      <c r="H111" s="30">
        <v>45801</v>
      </c>
      <c r="I111" s="30">
        <v>45806</v>
      </c>
      <c r="J111" s="25">
        <v>489997</v>
      </c>
      <c r="K111" s="18">
        <v>7</v>
      </c>
      <c r="L111" s="18">
        <v>14</v>
      </c>
      <c r="M111" s="18">
        <v>3</v>
      </c>
      <c r="N111" s="25">
        <v>0</v>
      </c>
      <c r="O111" s="18">
        <v>5</v>
      </c>
      <c r="P111" t="str">
        <f t="shared" si="2"/>
        <v>Children</v>
      </c>
      <c r="Q111" t="str">
        <f t="shared" si="3"/>
        <v>High</v>
      </c>
      <c r="R111" t="str">
        <f>IF(OR(AND(Table1[[#This Row],[Diagnosis]]="Labour Complication",Table1[[#This Row],[Gender]]="M"), AND(Table1[[#This Row],[Diagnosis]]="Labour Complication",Table1[[#This Row],[Age]]&lt;15)),"Error","OK")</f>
        <v>OK</v>
      </c>
      <c r="S111" s="4">
        <f>Table1[[#This Row],[Bill_Amount]]+Table1[[#This Row],[Surgery_Cost]]</f>
        <v>489997</v>
      </c>
    </row>
    <row r="112" spans="1:19" x14ac:dyDescent="0.35">
      <c r="A112" s="16" t="s">
        <v>133</v>
      </c>
      <c r="B112" s="17" t="s">
        <v>633</v>
      </c>
      <c r="C112" s="18">
        <v>48</v>
      </c>
      <c r="D112" s="17" t="s">
        <v>1057</v>
      </c>
      <c r="E112" s="17" t="s">
        <v>1016</v>
      </c>
      <c r="F112" s="17" t="s">
        <v>1023</v>
      </c>
      <c r="G112" s="17" t="s">
        <v>1030</v>
      </c>
      <c r="H112" s="30">
        <v>45778</v>
      </c>
      <c r="I112" s="30">
        <v>45784</v>
      </c>
      <c r="J112" s="25">
        <v>452075</v>
      </c>
      <c r="K112" s="18">
        <v>1</v>
      </c>
      <c r="L112" s="18">
        <v>8</v>
      </c>
      <c r="M112" s="18">
        <v>4</v>
      </c>
      <c r="N112" s="25">
        <v>0</v>
      </c>
      <c r="O112" s="18">
        <v>6</v>
      </c>
      <c r="P112" t="str">
        <f t="shared" si="2"/>
        <v>Adults</v>
      </c>
      <c r="Q112" t="str">
        <f t="shared" si="3"/>
        <v>High</v>
      </c>
      <c r="R112" t="str">
        <f>IF(OR(AND(Table1[[#This Row],[Diagnosis]]="Labour Complication",Table1[[#This Row],[Gender]]="M"), AND(Table1[[#This Row],[Diagnosis]]="Labour Complication",Table1[[#This Row],[Age]]&lt;15)),"Error","OK")</f>
        <v>OK</v>
      </c>
      <c r="S112" s="4">
        <f>Table1[[#This Row],[Bill_Amount]]+Table1[[#This Row],[Surgery_Cost]]</f>
        <v>452075</v>
      </c>
    </row>
    <row r="113" spans="1:19" x14ac:dyDescent="0.35">
      <c r="A113" s="19" t="s">
        <v>134</v>
      </c>
      <c r="B113" s="20" t="s">
        <v>634</v>
      </c>
      <c r="C113" s="21">
        <v>40</v>
      </c>
      <c r="D113" s="20" t="s">
        <v>1057</v>
      </c>
      <c r="E113" s="20" t="s">
        <v>1022</v>
      </c>
      <c r="F113" s="20" t="s">
        <v>1029</v>
      </c>
      <c r="G113" s="20" t="s">
        <v>1039</v>
      </c>
      <c r="H113" s="29">
        <v>45776</v>
      </c>
      <c r="I113" s="29">
        <v>45791</v>
      </c>
      <c r="J113" s="24">
        <v>135860</v>
      </c>
      <c r="K113" s="21">
        <v>4</v>
      </c>
      <c r="L113" s="21">
        <v>16</v>
      </c>
      <c r="M113" s="21">
        <v>3</v>
      </c>
      <c r="N113" s="24">
        <v>0</v>
      </c>
      <c r="O113" s="21">
        <v>15</v>
      </c>
      <c r="P113" t="str">
        <f t="shared" si="2"/>
        <v>Adults</v>
      </c>
      <c r="Q113" t="str">
        <f t="shared" si="3"/>
        <v>Medium</v>
      </c>
      <c r="R113" t="str">
        <f>IF(OR(AND(Table1[[#This Row],[Diagnosis]]="Labour Complication",Table1[[#This Row],[Gender]]="M"), AND(Table1[[#This Row],[Diagnosis]]="Labour Complication",Table1[[#This Row],[Age]]&lt;15)),"Error","OK")</f>
        <v>OK</v>
      </c>
      <c r="S113" s="4">
        <f>Table1[[#This Row],[Bill_Amount]]+Table1[[#This Row],[Surgery_Cost]]</f>
        <v>135860</v>
      </c>
    </row>
    <row r="114" spans="1:19" x14ac:dyDescent="0.35">
      <c r="A114" s="16" t="s">
        <v>135</v>
      </c>
      <c r="B114" s="17" t="s">
        <v>635</v>
      </c>
      <c r="C114" s="18">
        <v>49</v>
      </c>
      <c r="D114" s="17" t="s">
        <v>1058</v>
      </c>
      <c r="E114" s="17" t="s">
        <v>1021</v>
      </c>
      <c r="F114" s="17" t="s">
        <v>1028</v>
      </c>
      <c r="G114" s="17" t="s">
        <v>1035</v>
      </c>
      <c r="H114" s="30">
        <v>45793</v>
      </c>
      <c r="I114" s="30">
        <v>45804</v>
      </c>
      <c r="J114" s="25">
        <v>405125</v>
      </c>
      <c r="K114" s="18">
        <v>7</v>
      </c>
      <c r="L114" s="18">
        <v>9</v>
      </c>
      <c r="M114" s="18">
        <v>4</v>
      </c>
      <c r="N114" s="25">
        <v>235383</v>
      </c>
      <c r="O114" s="18">
        <v>11</v>
      </c>
      <c r="P114" t="str">
        <f t="shared" si="2"/>
        <v>Adults</v>
      </c>
      <c r="Q114" t="str">
        <f t="shared" si="3"/>
        <v>High</v>
      </c>
      <c r="R114" t="str">
        <f>IF(OR(AND(Table1[[#This Row],[Diagnosis]]="Labour Complication",Table1[[#This Row],[Gender]]="M"), AND(Table1[[#This Row],[Diagnosis]]="Labour Complication",Table1[[#This Row],[Age]]&lt;15)),"Error","OK")</f>
        <v>OK</v>
      </c>
      <c r="S114" s="4">
        <f>Table1[[#This Row],[Bill_Amount]]+Table1[[#This Row],[Surgery_Cost]]</f>
        <v>640508</v>
      </c>
    </row>
    <row r="115" spans="1:19" x14ac:dyDescent="0.35">
      <c r="A115" s="19" t="s">
        <v>136</v>
      </c>
      <c r="B115" s="20" t="s">
        <v>636</v>
      </c>
      <c r="C115" s="21">
        <v>81</v>
      </c>
      <c r="D115" s="20" t="s">
        <v>1057</v>
      </c>
      <c r="E115" s="20" t="s">
        <v>1018</v>
      </c>
      <c r="F115" s="20" t="s">
        <v>1025</v>
      </c>
      <c r="G115" s="20" t="s">
        <v>1044</v>
      </c>
      <c r="H115" s="29">
        <v>45773</v>
      </c>
      <c r="I115" s="29">
        <v>45784</v>
      </c>
      <c r="J115" s="24">
        <v>412080</v>
      </c>
      <c r="K115" s="21">
        <v>7</v>
      </c>
      <c r="L115" s="21">
        <v>14</v>
      </c>
      <c r="M115" s="21">
        <v>2</v>
      </c>
      <c r="N115" s="24">
        <v>0</v>
      </c>
      <c r="O115" s="21">
        <v>11</v>
      </c>
      <c r="P115" t="str">
        <f t="shared" si="2"/>
        <v>Older Adults</v>
      </c>
      <c r="Q115" t="str">
        <f t="shared" si="3"/>
        <v>High</v>
      </c>
      <c r="R115" t="str">
        <f>IF(OR(AND(Table1[[#This Row],[Diagnosis]]="Labour Complication",Table1[[#This Row],[Gender]]="M"), AND(Table1[[#This Row],[Diagnosis]]="Labour Complication",Table1[[#This Row],[Age]]&lt;15)),"Error","OK")</f>
        <v>OK</v>
      </c>
      <c r="S115" s="4">
        <f>Table1[[#This Row],[Bill_Amount]]+Table1[[#This Row],[Surgery_Cost]]</f>
        <v>412080</v>
      </c>
    </row>
    <row r="116" spans="1:19" x14ac:dyDescent="0.35">
      <c r="A116" s="16" t="s">
        <v>137</v>
      </c>
      <c r="B116" s="17" t="s">
        <v>637</v>
      </c>
      <c r="C116" s="18">
        <v>88</v>
      </c>
      <c r="D116" s="17" t="s">
        <v>1057</v>
      </c>
      <c r="E116" s="17" t="s">
        <v>1016</v>
      </c>
      <c r="F116" s="17" t="s">
        <v>1023</v>
      </c>
      <c r="G116" s="17" t="s">
        <v>1030</v>
      </c>
      <c r="H116" s="30">
        <v>45767</v>
      </c>
      <c r="I116" s="30">
        <v>45781</v>
      </c>
      <c r="J116" s="25">
        <v>208116</v>
      </c>
      <c r="K116" s="18">
        <v>9</v>
      </c>
      <c r="L116" s="18">
        <v>5</v>
      </c>
      <c r="M116" s="18">
        <v>3</v>
      </c>
      <c r="N116" s="25">
        <v>0</v>
      </c>
      <c r="O116" s="18">
        <v>14</v>
      </c>
      <c r="P116" t="str">
        <f t="shared" si="2"/>
        <v>Older Adults</v>
      </c>
      <c r="Q116" t="str">
        <f t="shared" si="3"/>
        <v>High</v>
      </c>
      <c r="R116" t="str">
        <f>IF(OR(AND(Table1[[#This Row],[Diagnosis]]="Labour Complication",Table1[[#This Row],[Gender]]="M"), AND(Table1[[#This Row],[Diagnosis]]="Labour Complication",Table1[[#This Row],[Age]]&lt;15)),"Error","OK")</f>
        <v>OK</v>
      </c>
      <c r="S116" s="4">
        <f>Table1[[#This Row],[Bill_Amount]]+Table1[[#This Row],[Surgery_Cost]]</f>
        <v>208116</v>
      </c>
    </row>
    <row r="117" spans="1:19" x14ac:dyDescent="0.35">
      <c r="A117" s="19" t="s">
        <v>138</v>
      </c>
      <c r="B117" s="20" t="s">
        <v>638</v>
      </c>
      <c r="C117" s="21">
        <v>85</v>
      </c>
      <c r="D117" s="20" t="s">
        <v>1058</v>
      </c>
      <c r="E117" s="20" t="s">
        <v>1021</v>
      </c>
      <c r="F117" s="20" t="s">
        <v>1028</v>
      </c>
      <c r="G117" s="20" t="s">
        <v>1035</v>
      </c>
      <c r="H117" s="29">
        <v>45763</v>
      </c>
      <c r="I117" s="29">
        <v>45773</v>
      </c>
      <c r="J117" s="24">
        <v>274593</v>
      </c>
      <c r="K117" s="21">
        <v>6</v>
      </c>
      <c r="L117" s="21">
        <v>2</v>
      </c>
      <c r="M117" s="21">
        <v>1</v>
      </c>
      <c r="N117" s="24">
        <v>194741</v>
      </c>
      <c r="O117" s="21">
        <v>10</v>
      </c>
      <c r="P117" t="str">
        <f t="shared" si="2"/>
        <v>Older Adults</v>
      </c>
      <c r="Q117" t="str">
        <f t="shared" si="3"/>
        <v>High</v>
      </c>
      <c r="R117" t="str">
        <f>IF(OR(AND(Table1[[#This Row],[Diagnosis]]="Labour Complication",Table1[[#This Row],[Gender]]="M"), AND(Table1[[#This Row],[Diagnosis]]="Labour Complication",Table1[[#This Row],[Age]]&lt;15)),"Error","OK")</f>
        <v>OK</v>
      </c>
      <c r="S117" s="4">
        <f>Table1[[#This Row],[Bill_Amount]]+Table1[[#This Row],[Surgery_Cost]]</f>
        <v>469334</v>
      </c>
    </row>
    <row r="118" spans="1:19" x14ac:dyDescent="0.35">
      <c r="A118" s="16" t="s">
        <v>139</v>
      </c>
      <c r="B118" s="17" t="s">
        <v>639</v>
      </c>
      <c r="C118" s="18">
        <v>2</v>
      </c>
      <c r="D118" s="17" t="s">
        <v>1058</v>
      </c>
      <c r="E118" s="17" t="s">
        <v>1019</v>
      </c>
      <c r="F118" s="17" t="s">
        <v>1026</v>
      </c>
      <c r="G118" s="17" t="s">
        <v>1038</v>
      </c>
      <c r="H118" s="30">
        <v>45790</v>
      </c>
      <c r="I118" s="30">
        <v>45802</v>
      </c>
      <c r="J118" s="25">
        <v>228903</v>
      </c>
      <c r="K118" s="18">
        <v>7</v>
      </c>
      <c r="L118" s="18">
        <v>1</v>
      </c>
      <c r="M118" s="18">
        <v>3</v>
      </c>
      <c r="N118" s="25">
        <v>0</v>
      </c>
      <c r="O118" s="18">
        <v>12</v>
      </c>
      <c r="P118" t="str">
        <f t="shared" si="2"/>
        <v>Children</v>
      </c>
      <c r="Q118" t="str">
        <f t="shared" si="3"/>
        <v>High</v>
      </c>
      <c r="R118" t="str">
        <f>IF(OR(AND(Table1[[#This Row],[Diagnosis]]="Labour Complication",Table1[[#This Row],[Gender]]="M"), AND(Table1[[#This Row],[Diagnosis]]="Labour Complication",Table1[[#This Row],[Age]]&lt;15)),"Error","OK")</f>
        <v>OK</v>
      </c>
      <c r="S118" s="4">
        <f>Table1[[#This Row],[Bill_Amount]]+Table1[[#This Row],[Surgery_Cost]]</f>
        <v>228903</v>
      </c>
    </row>
    <row r="119" spans="1:19" x14ac:dyDescent="0.35">
      <c r="A119" s="19" t="s">
        <v>140</v>
      </c>
      <c r="B119" s="20" t="s">
        <v>640</v>
      </c>
      <c r="C119" s="21">
        <v>82</v>
      </c>
      <c r="D119" s="20" t="s">
        <v>1058</v>
      </c>
      <c r="E119" s="20" t="s">
        <v>1018</v>
      </c>
      <c r="F119" s="20" t="s">
        <v>1025</v>
      </c>
      <c r="G119" s="20" t="s">
        <v>1032</v>
      </c>
      <c r="H119" s="29">
        <v>45766</v>
      </c>
      <c r="I119" s="29">
        <v>45774</v>
      </c>
      <c r="J119" s="24">
        <v>239890</v>
      </c>
      <c r="K119" s="21">
        <v>2</v>
      </c>
      <c r="L119" s="21">
        <v>7</v>
      </c>
      <c r="M119" s="21">
        <v>3</v>
      </c>
      <c r="N119" s="24">
        <v>0</v>
      </c>
      <c r="O119" s="21">
        <v>8</v>
      </c>
      <c r="P119" t="str">
        <f t="shared" si="2"/>
        <v>Older Adults</v>
      </c>
      <c r="Q119" t="str">
        <f t="shared" si="3"/>
        <v>High</v>
      </c>
      <c r="R119" t="str">
        <f>IF(OR(AND(Table1[[#This Row],[Diagnosis]]="Labour Complication",Table1[[#This Row],[Gender]]="M"), AND(Table1[[#This Row],[Diagnosis]]="Labour Complication",Table1[[#This Row],[Age]]&lt;15)),"Error","OK")</f>
        <v>OK</v>
      </c>
      <c r="S119" s="4">
        <f>Table1[[#This Row],[Bill_Amount]]+Table1[[#This Row],[Surgery_Cost]]</f>
        <v>239890</v>
      </c>
    </row>
    <row r="120" spans="1:19" x14ac:dyDescent="0.35">
      <c r="A120" s="19" t="s">
        <v>142</v>
      </c>
      <c r="B120" s="20" t="s">
        <v>642</v>
      </c>
      <c r="C120" s="21">
        <v>76</v>
      </c>
      <c r="D120" s="20" t="s">
        <v>1058</v>
      </c>
      <c r="E120" s="20" t="s">
        <v>1020</v>
      </c>
      <c r="F120" s="20" t="s">
        <v>1027</v>
      </c>
      <c r="G120" s="20" t="s">
        <v>1034</v>
      </c>
      <c r="H120" s="29">
        <v>45798</v>
      </c>
      <c r="I120" s="29">
        <v>45806</v>
      </c>
      <c r="J120" s="24">
        <v>482922</v>
      </c>
      <c r="K120" s="21">
        <v>8</v>
      </c>
      <c r="L120" s="21">
        <v>15</v>
      </c>
      <c r="M120" s="21">
        <v>2</v>
      </c>
      <c r="N120" s="24">
        <v>0</v>
      </c>
      <c r="O120" s="21">
        <v>8</v>
      </c>
      <c r="P120" t="str">
        <f t="shared" si="2"/>
        <v>Older Adults</v>
      </c>
      <c r="Q120" t="str">
        <f t="shared" si="3"/>
        <v>High</v>
      </c>
      <c r="R120" t="str">
        <f>IF(OR(AND(Table1[[#This Row],[Diagnosis]]="Labour Complication",Table1[[#This Row],[Gender]]="M"), AND(Table1[[#This Row],[Diagnosis]]="Labour Complication",Table1[[#This Row],[Age]]&lt;15)),"Error","OK")</f>
        <v>OK</v>
      </c>
      <c r="S120" s="4">
        <f>Table1[[#This Row],[Bill_Amount]]+Table1[[#This Row],[Surgery_Cost]]</f>
        <v>482922</v>
      </c>
    </row>
    <row r="121" spans="1:19" x14ac:dyDescent="0.35">
      <c r="A121" s="16" t="s">
        <v>143</v>
      </c>
      <c r="B121" s="17" t="s">
        <v>643</v>
      </c>
      <c r="C121" s="18">
        <v>12</v>
      </c>
      <c r="D121" s="17" t="s">
        <v>1058</v>
      </c>
      <c r="E121" s="17" t="s">
        <v>1022</v>
      </c>
      <c r="F121" s="17" t="s">
        <v>1029</v>
      </c>
      <c r="G121" s="17" t="s">
        <v>1041</v>
      </c>
      <c r="H121" s="30">
        <v>45763</v>
      </c>
      <c r="I121" s="30">
        <v>45768</v>
      </c>
      <c r="J121" s="25">
        <v>485542</v>
      </c>
      <c r="K121" s="18">
        <v>6</v>
      </c>
      <c r="L121" s="18">
        <v>9</v>
      </c>
      <c r="M121" s="18">
        <v>4</v>
      </c>
      <c r="N121" s="25">
        <v>0</v>
      </c>
      <c r="O121" s="18">
        <v>5</v>
      </c>
      <c r="P121" t="str">
        <f t="shared" si="2"/>
        <v>Children</v>
      </c>
      <c r="Q121" t="str">
        <f t="shared" si="3"/>
        <v>High</v>
      </c>
      <c r="R121" t="str">
        <f>IF(OR(AND(Table1[[#This Row],[Diagnosis]]="Labour Complication",Table1[[#This Row],[Gender]]="M"), AND(Table1[[#This Row],[Diagnosis]]="Labour Complication",Table1[[#This Row],[Age]]&lt;15)),"Error","OK")</f>
        <v>OK</v>
      </c>
      <c r="S121" s="4">
        <f>Table1[[#This Row],[Bill_Amount]]+Table1[[#This Row],[Surgery_Cost]]</f>
        <v>485542</v>
      </c>
    </row>
    <row r="122" spans="1:19" x14ac:dyDescent="0.35">
      <c r="A122" s="16" t="s">
        <v>145</v>
      </c>
      <c r="B122" s="17" t="s">
        <v>645</v>
      </c>
      <c r="C122" s="18">
        <v>42</v>
      </c>
      <c r="D122" s="17" t="s">
        <v>1057</v>
      </c>
      <c r="E122" s="17" t="s">
        <v>1018</v>
      </c>
      <c r="F122" s="17" t="s">
        <v>1025</v>
      </c>
      <c r="G122" s="17" t="s">
        <v>1037</v>
      </c>
      <c r="H122" s="30">
        <v>45785</v>
      </c>
      <c r="I122" s="30">
        <v>45794</v>
      </c>
      <c r="J122" s="25">
        <v>496144</v>
      </c>
      <c r="K122" s="18">
        <v>3</v>
      </c>
      <c r="L122" s="18">
        <v>13</v>
      </c>
      <c r="M122" s="18">
        <v>2</v>
      </c>
      <c r="N122" s="25">
        <v>0</v>
      </c>
      <c r="O122" s="18">
        <v>9</v>
      </c>
      <c r="P122" t="str">
        <f t="shared" si="2"/>
        <v>Adults</v>
      </c>
      <c r="Q122" t="str">
        <f t="shared" si="3"/>
        <v>High</v>
      </c>
      <c r="R122" t="str">
        <f>IF(OR(AND(Table1[[#This Row],[Diagnosis]]="Labour Complication",Table1[[#This Row],[Gender]]="M"), AND(Table1[[#This Row],[Diagnosis]]="Labour Complication",Table1[[#This Row],[Age]]&lt;15)),"Error","OK")</f>
        <v>OK</v>
      </c>
      <c r="S122" s="4">
        <f>Table1[[#This Row],[Bill_Amount]]+Table1[[#This Row],[Surgery_Cost]]</f>
        <v>496144</v>
      </c>
    </row>
    <row r="123" spans="1:19" x14ac:dyDescent="0.35">
      <c r="A123" s="19" t="s">
        <v>146</v>
      </c>
      <c r="B123" s="20" t="s">
        <v>646</v>
      </c>
      <c r="C123" s="21">
        <v>34</v>
      </c>
      <c r="D123" s="20" t="s">
        <v>1058</v>
      </c>
      <c r="E123" s="20" t="s">
        <v>1017</v>
      </c>
      <c r="F123" s="20" t="s">
        <v>1024</v>
      </c>
      <c r="G123" s="20" t="s">
        <v>1031</v>
      </c>
      <c r="H123" s="29">
        <v>45753</v>
      </c>
      <c r="I123" s="29">
        <v>45760</v>
      </c>
      <c r="J123" s="24">
        <v>468293</v>
      </c>
      <c r="K123" s="21">
        <v>7</v>
      </c>
      <c r="L123" s="21">
        <v>5</v>
      </c>
      <c r="M123" s="21">
        <v>2</v>
      </c>
      <c r="N123" s="24">
        <v>0</v>
      </c>
      <c r="O123" s="21">
        <v>7</v>
      </c>
      <c r="P123" t="str">
        <f t="shared" si="2"/>
        <v>Adults</v>
      </c>
      <c r="Q123" t="str">
        <f t="shared" si="3"/>
        <v>High</v>
      </c>
      <c r="R123" t="str">
        <f>IF(OR(AND(Table1[[#This Row],[Diagnosis]]="Labour Complication",Table1[[#This Row],[Gender]]="M"), AND(Table1[[#This Row],[Diagnosis]]="Labour Complication",Table1[[#This Row],[Age]]&lt;15)),"Error","OK")</f>
        <v>OK</v>
      </c>
      <c r="S123" s="4">
        <f>Table1[[#This Row],[Bill_Amount]]+Table1[[#This Row],[Surgery_Cost]]</f>
        <v>468293</v>
      </c>
    </row>
    <row r="124" spans="1:19" x14ac:dyDescent="0.35">
      <c r="A124" s="16" t="s">
        <v>147</v>
      </c>
      <c r="B124" s="17" t="s">
        <v>647</v>
      </c>
      <c r="C124" s="18">
        <v>72</v>
      </c>
      <c r="D124" s="17" t="s">
        <v>1057</v>
      </c>
      <c r="E124" s="17" t="s">
        <v>1019</v>
      </c>
      <c r="F124" s="17" t="s">
        <v>1026</v>
      </c>
      <c r="G124" s="17" t="s">
        <v>1033</v>
      </c>
      <c r="H124" s="30">
        <v>45774</v>
      </c>
      <c r="I124" s="30">
        <v>45787</v>
      </c>
      <c r="J124" s="25">
        <v>194844</v>
      </c>
      <c r="K124" s="18">
        <v>5</v>
      </c>
      <c r="L124" s="18">
        <v>8</v>
      </c>
      <c r="M124" s="18">
        <v>1</v>
      </c>
      <c r="N124" s="25">
        <v>0</v>
      </c>
      <c r="O124" s="18">
        <v>13</v>
      </c>
      <c r="P124" t="str">
        <f t="shared" si="2"/>
        <v>Older Adults</v>
      </c>
      <c r="Q124" t="str">
        <f t="shared" si="3"/>
        <v>High</v>
      </c>
      <c r="R124" t="str">
        <f>IF(OR(AND(Table1[[#This Row],[Diagnosis]]="Labour Complication",Table1[[#This Row],[Gender]]="M"), AND(Table1[[#This Row],[Diagnosis]]="Labour Complication",Table1[[#This Row],[Age]]&lt;15)),"Error","OK")</f>
        <v>OK</v>
      </c>
      <c r="S124" s="4">
        <f>Table1[[#This Row],[Bill_Amount]]+Table1[[#This Row],[Surgery_Cost]]</f>
        <v>194844</v>
      </c>
    </row>
    <row r="125" spans="1:19" x14ac:dyDescent="0.35">
      <c r="A125" s="19" t="s">
        <v>148</v>
      </c>
      <c r="B125" s="20" t="s">
        <v>648</v>
      </c>
      <c r="C125" s="21">
        <v>53</v>
      </c>
      <c r="D125" s="20" t="s">
        <v>1058</v>
      </c>
      <c r="E125" s="20" t="s">
        <v>1018</v>
      </c>
      <c r="F125" s="20" t="s">
        <v>1025</v>
      </c>
      <c r="G125" s="20" t="s">
        <v>1032</v>
      </c>
      <c r="H125" s="29">
        <v>45777</v>
      </c>
      <c r="I125" s="29">
        <v>45782</v>
      </c>
      <c r="J125" s="24">
        <v>427526</v>
      </c>
      <c r="K125" s="21">
        <v>5</v>
      </c>
      <c r="L125" s="21">
        <v>6</v>
      </c>
      <c r="M125" s="21">
        <v>3</v>
      </c>
      <c r="N125" s="24">
        <v>0</v>
      </c>
      <c r="O125" s="21">
        <v>5</v>
      </c>
      <c r="P125" t="str">
        <f t="shared" si="2"/>
        <v>Adults</v>
      </c>
      <c r="Q125" t="str">
        <f t="shared" si="3"/>
        <v>High</v>
      </c>
      <c r="R125" t="str">
        <f>IF(OR(AND(Table1[[#This Row],[Diagnosis]]="Labour Complication",Table1[[#This Row],[Gender]]="M"), AND(Table1[[#This Row],[Diagnosis]]="Labour Complication",Table1[[#This Row],[Age]]&lt;15)),"Error","OK")</f>
        <v>OK</v>
      </c>
      <c r="S125" s="4">
        <f>Table1[[#This Row],[Bill_Amount]]+Table1[[#This Row],[Surgery_Cost]]</f>
        <v>427526</v>
      </c>
    </row>
    <row r="126" spans="1:19" x14ac:dyDescent="0.35">
      <c r="A126" s="16" t="s">
        <v>149</v>
      </c>
      <c r="B126" s="17" t="s">
        <v>649</v>
      </c>
      <c r="C126" s="18">
        <v>61</v>
      </c>
      <c r="D126" s="17" t="s">
        <v>1058</v>
      </c>
      <c r="E126" s="17" t="s">
        <v>1022</v>
      </c>
      <c r="F126" s="17" t="s">
        <v>1029</v>
      </c>
      <c r="G126" s="17" t="s">
        <v>1041</v>
      </c>
      <c r="H126" s="30">
        <v>45802</v>
      </c>
      <c r="I126" s="30">
        <v>45807</v>
      </c>
      <c r="J126" s="25">
        <v>412078</v>
      </c>
      <c r="K126" s="18">
        <v>7</v>
      </c>
      <c r="L126" s="18">
        <v>7</v>
      </c>
      <c r="M126" s="18">
        <v>2</v>
      </c>
      <c r="N126" s="25">
        <v>0</v>
      </c>
      <c r="O126" s="18">
        <v>5</v>
      </c>
      <c r="P126" t="str">
        <f t="shared" si="2"/>
        <v>Older Adults</v>
      </c>
      <c r="Q126" t="str">
        <f t="shared" si="3"/>
        <v>High</v>
      </c>
      <c r="R126" t="str">
        <f>IF(OR(AND(Table1[[#This Row],[Diagnosis]]="Labour Complication",Table1[[#This Row],[Gender]]="M"), AND(Table1[[#This Row],[Diagnosis]]="Labour Complication",Table1[[#This Row],[Age]]&lt;15)),"Error","OK")</f>
        <v>OK</v>
      </c>
      <c r="S126" s="4">
        <f>Table1[[#This Row],[Bill_Amount]]+Table1[[#This Row],[Surgery_Cost]]</f>
        <v>412078</v>
      </c>
    </row>
    <row r="127" spans="1:19" x14ac:dyDescent="0.35">
      <c r="A127" s="19" t="s">
        <v>150</v>
      </c>
      <c r="B127" s="20" t="s">
        <v>650</v>
      </c>
      <c r="C127" s="21">
        <v>38</v>
      </c>
      <c r="D127" s="20" t="s">
        <v>1057</v>
      </c>
      <c r="E127" s="20" t="s">
        <v>1022</v>
      </c>
      <c r="F127" s="20" t="s">
        <v>1029</v>
      </c>
      <c r="G127" s="20" t="s">
        <v>1041</v>
      </c>
      <c r="H127" s="29">
        <v>45765</v>
      </c>
      <c r="I127" s="29">
        <v>45767</v>
      </c>
      <c r="J127" s="24">
        <v>98786</v>
      </c>
      <c r="K127" s="21">
        <v>4</v>
      </c>
      <c r="L127" s="21">
        <v>14</v>
      </c>
      <c r="M127" s="21">
        <v>2</v>
      </c>
      <c r="N127" s="24">
        <v>0</v>
      </c>
      <c r="O127" s="21">
        <v>2</v>
      </c>
      <c r="P127" t="str">
        <f t="shared" si="2"/>
        <v>Adults</v>
      </c>
      <c r="Q127" t="str">
        <f t="shared" si="3"/>
        <v>Low</v>
      </c>
      <c r="R127" t="str">
        <f>IF(OR(AND(Table1[[#This Row],[Diagnosis]]="Labour Complication",Table1[[#This Row],[Gender]]="M"), AND(Table1[[#This Row],[Diagnosis]]="Labour Complication",Table1[[#This Row],[Age]]&lt;15)),"Error","OK")</f>
        <v>OK</v>
      </c>
      <c r="S127" s="4">
        <f>Table1[[#This Row],[Bill_Amount]]+Table1[[#This Row],[Surgery_Cost]]</f>
        <v>98786</v>
      </c>
    </row>
    <row r="128" spans="1:19" x14ac:dyDescent="0.35">
      <c r="A128" s="16" t="s">
        <v>151</v>
      </c>
      <c r="B128" s="17" t="s">
        <v>651</v>
      </c>
      <c r="C128" s="18">
        <v>85</v>
      </c>
      <c r="D128" s="17" t="s">
        <v>1058</v>
      </c>
      <c r="E128" s="17" t="s">
        <v>1016</v>
      </c>
      <c r="F128" s="17" t="s">
        <v>1023</v>
      </c>
      <c r="G128" s="17" t="s">
        <v>1040</v>
      </c>
      <c r="H128" s="30">
        <v>45766</v>
      </c>
      <c r="I128" s="30">
        <v>45771</v>
      </c>
      <c r="J128" s="25">
        <v>210540</v>
      </c>
      <c r="K128" s="18">
        <v>6</v>
      </c>
      <c r="L128" s="18">
        <v>5</v>
      </c>
      <c r="M128" s="18">
        <v>1</v>
      </c>
      <c r="N128" s="25">
        <v>0</v>
      </c>
      <c r="O128" s="18">
        <v>5</v>
      </c>
      <c r="P128" t="str">
        <f t="shared" si="2"/>
        <v>Older Adults</v>
      </c>
      <c r="Q128" t="str">
        <f t="shared" si="3"/>
        <v>High</v>
      </c>
      <c r="R128" t="str">
        <f>IF(OR(AND(Table1[[#This Row],[Diagnosis]]="Labour Complication",Table1[[#This Row],[Gender]]="M"), AND(Table1[[#This Row],[Diagnosis]]="Labour Complication",Table1[[#This Row],[Age]]&lt;15)),"Error","OK")</f>
        <v>OK</v>
      </c>
      <c r="S128" s="4">
        <f>Table1[[#This Row],[Bill_Amount]]+Table1[[#This Row],[Surgery_Cost]]</f>
        <v>210540</v>
      </c>
    </row>
    <row r="129" spans="1:19" x14ac:dyDescent="0.35">
      <c r="A129" s="19" t="s">
        <v>152</v>
      </c>
      <c r="B129" s="20" t="s">
        <v>652</v>
      </c>
      <c r="C129" s="21">
        <v>55</v>
      </c>
      <c r="D129" s="20" t="s">
        <v>1058</v>
      </c>
      <c r="E129" s="20" t="s">
        <v>1019</v>
      </c>
      <c r="F129" s="20" t="s">
        <v>1026</v>
      </c>
      <c r="G129" s="20" t="s">
        <v>1038</v>
      </c>
      <c r="H129" s="29">
        <v>45771</v>
      </c>
      <c r="I129" s="29">
        <v>45781</v>
      </c>
      <c r="J129" s="24">
        <v>230227</v>
      </c>
      <c r="K129" s="21">
        <v>5</v>
      </c>
      <c r="L129" s="21">
        <v>18</v>
      </c>
      <c r="M129" s="21">
        <v>4</v>
      </c>
      <c r="N129" s="24">
        <v>0</v>
      </c>
      <c r="O129" s="21">
        <v>10</v>
      </c>
      <c r="P129" t="str">
        <f t="shared" si="2"/>
        <v>Adults</v>
      </c>
      <c r="Q129" t="str">
        <f t="shared" si="3"/>
        <v>High</v>
      </c>
      <c r="R129" t="str">
        <f>IF(OR(AND(Table1[[#This Row],[Diagnosis]]="Labour Complication",Table1[[#This Row],[Gender]]="M"), AND(Table1[[#This Row],[Diagnosis]]="Labour Complication",Table1[[#This Row],[Age]]&lt;15)),"Error","OK")</f>
        <v>OK</v>
      </c>
      <c r="S129" s="4">
        <f>Table1[[#This Row],[Bill_Amount]]+Table1[[#This Row],[Surgery_Cost]]</f>
        <v>230227</v>
      </c>
    </row>
    <row r="130" spans="1:19" x14ac:dyDescent="0.35">
      <c r="A130" s="16" t="s">
        <v>153</v>
      </c>
      <c r="B130" s="17" t="s">
        <v>653</v>
      </c>
      <c r="C130" s="18">
        <v>40</v>
      </c>
      <c r="D130" s="17" t="s">
        <v>1058</v>
      </c>
      <c r="E130" s="17" t="s">
        <v>1016</v>
      </c>
      <c r="F130" s="17" t="s">
        <v>1023</v>
      </c>
      <c r="G130" s="17" t="s">
        <v>1030</v>
      </c>
      <c r="H130" s="30">
        <v>45768</v>
      </c>
      <c r="I130" s="30">
        <v>45777</v>
      </c>
      <c r="J130" s="25">
        <v>192038</v>
      </c>
      <c r="K130" s="18">
        <v>1</v>
      </c>
      <c r="L130" s="18">
        <v>11</v>
      </c>
      <c r="M130" s="18">
        <v>2</v>
      </c>
      <c r="N130" s="25">
        <v>0</v>
      </c>
      <c r="O130" s="18">
        <v>9</v>
      </c>
      <c r="P130" t="str">
        <f t="shared" ref="P130:P193" si="4">IF(C130&lt;=12,"Children", IF(C130&lt;=19,"Teenagers", IF(C130&lt;60, "Adults","Older Adults")))</f>
        <v>Adults</v>
      </c>
      <c r="Q130" t="str">
        <f t="shared" ref="Q130:Q193" si="5">IF(J130&lt;100000,"Low", IF(J130&lt;150000,"Medium","High"))</f>
        <v>High</v>
      </c>
      <c r="R130" t="str">
        <f>IF(OR(AND(Table1[[#This Row],[Diagnosis]]="Labour Complication",Table1[[#This Row],[Gender]]="M"), AND(Table1[[#This Row],[Diagnosis]]="Labour Complication",Table1[[#This Row],[Age]]&lt;15)),"Error","OK")</f>
        <v>OK</v>
      </c>
      <c r="S130" s="4">
        <f>Table1[[#This Row],[Bill_Amount]]+Table1[[#This Row],[Surgery_Cost]]</f>
        <v>192038</v>
      </c>
    </row>
    <row r="131" spans="1:19" x14ac:dyDescent="0.35">
      <c r="A131" s="19" t="s">
        <v>154</v>
      </c>
      <c r="B131" s="20" t="s">
        <v>654</v>
      </c>
      <c r="C131" s="21">
        <v>41</v>
      </c>
      <c r="D131" s="20" t="s">
        <v>1057</v>
      </c>
      <c r="E131" s="20" t="s">
        <v>1018</v>
      </c>
      <c r="F131" s="20" t="s">
        <v>1025</v>
      </c>
      <c r="G131" s="20" t="s">
        <v>1032</v>
      </c>
      <c r="H131" s="29">
        <v>45800</v>
      </c>
      <c r="I131" s="29">
        <v>45813</v>
      </c>
      <c r="J131" s="24">
        <v>150969</v>
      </c>
      <c r="K131" s="21">
        <v>2</v>
      </c>
      <c r="L131" s="21">
        <v>19</v>
      </c>
      <c r="M131" s="21">
        <v>3</v>
      </c>
      <c r="N131" s="24">
        <v>0</v>
      </c>
      <c r="O131" s="21">
        <v>13</v>
      </c>
      <c r="P131" t="str">
        <f t="shared" si="4"/>
        <v>Adults</v>
      </c>
      <c r="Q131" t="str">
        <f t="shared" si="5"/>
        <v>High</v>
      </c>
      <c r="R131" t="str">
        <f>IF(OR(AND(Table1[[#This Row],[Diagnosis]]="Labour Complication",Table1[[#This Row],[Gender]]="M"), AND(Table1[[#This Row],[Diagnosis]]="Labour Complication",Table1[[#This Row],[Age]]&lt;15)),"Error","OK")</f>
        <v>OK</v>
      </c>
      <c r="S131" s="4">
        <f>Table1[[#This Row],[Bill_Amount]]+Table1[[#This Row],[Surgery_Cost]]</f>
        <v>150969</v>
      </c>
    </row>
    <row r="132" spans="1:19" x14ac:dyDescent="0.35">
      <c r="A132" s="16" t="s">
        <v>155</v>
      </c>
      <c r="B132" s="17" t="s">
        <v>655</v>
      </c>
      <c r="C132" s="18">
        <v>24</v>
      </c>
      <c r="D132" s="17" t="s">
        <v>1057</v>
      </c>
      <c r="E132" s="17" t="s">
        <v>1019</v>
      </c>
      <c r="F132" s="17" t="s">
        <v>1026</v>
      </c>
      <c r="G132" s="17" t="s">
        <v>1033</v>
      </c>
      <c r="H132" s="30">
        <v>45763</v>
      </c>
      <c r="I132" s="30">
        <v>45777</v>
      </c>
      <c r="J132" s="25">
        <v>411844</v>
      </c>
      <c r="K132" s="18">
        <v>2</v>
      </c>
      <c r="L132" s="18">
        <v>19</v>
      </c>
      <c r="M132" s="18">
        <v>1</v>
      </c>
      <c r="N132" s="25">
        <v>0</v>
      </c>
      <c r="O132" s="18">
        <v>14</v>
      </c>
      <c r="P132" t="str">
        <f t="shared" si="4"/>
        <v>Adults</v>
      </c>
      <c r="Q132" t="str">
        <f t="shared" si="5"/>
        <v>High</v>
      </c>
      <c r="R132" t="str">
        <f>IF(OR(AND(Table1[[#This Row],[Diagnosis]]="Labour Complication",Table1[[#This Row],[Gender]]="M"), AND(Table1[[#This Row],[Diagnosis]]="Labour Complication",Table1[[#This Row],[Age]]&lt;15)),"Error","OK")</f>
        <v>OK</v>
      </c>
      <c r="S132" s="4">
        <f>Table1[[#This Row],[Bill_Amount]]+Table1[[#This Row],[Surgery_Cost]]</f>
        <v>411844</v>
      </c>
    </row>
    <row r="133" spans="1:19" x14ac:dyDescent="0.35">
      <c r="A133" s="19" t="s">
        <v>156</v>
      </c>
      <c r="B133" s="20" t="s">
        <v>656</v>
      </c>
      <c r="C133" s="21">
        <v>76</v>
      </c>
      <c r="D133" s="20" t="s">
        <v>1058</v>
      </c>
      <c r="E133" s="20" t="s">
        <v>1016</v>
      </c>
      <c r="F133" s="20" t="s">
        <v>1023</v>
      </c>
      <c r="G133" s="20" t="s">
        <v>1030</v>
      </c>
      <c r="H133" s="29">
        <v>45792</v>
      </c>
      <c r="I133" s="29">
        <v>45801</v>
      </c>
      <c r="J133" s="24">
        <v>194965</v>
      </c>
      <c r="K133" s="21">
        <v>6</v>
      </c>
      <c r="L133" s="21">
        <v>3</v>
      </c>
      <c r="M133" s="21">
        <v>3</v>
      </c>
      <c r="N133" s="24">
        <v>0</v>
      </c>
      <c r="O133" s="21">
        <v>9</v>
      </c>
      <c r="P133" t="str">
        <f t="shared" si="4"/>
        <v>Older Adults</v>
      </c>
      <c r="Q133" t="str">
        <f t="shared" si="5"/>
        <v>High</v>
      </c>
      <c r="R133" t="str">
        <f>IF(OR(AND(Table1[[#This Row],[Diagnosis]]="Labour Complication",Table1[[#This Row],[Gender]]="M"), AND(Table1[[#This Row],[Diagnosis]]="Labour Complication",Table1[[#This Row],[Age]]&lt;15)),"Error","OK")</f>
        <v>OK</v>
      </c>
      <c r="S133" s="4">
        <f>Table1[[#This Row],[Bill_Amount]]+Table1[[#This Row],[Surgery_Cost]]</f>
        <v>194965</v>
      </c>
    </row>
    <row r="134" spans="1:19" x14ac:dyDescent="0.35">
      <c r="A134" s="16" t="s">
        <v>157</v>
      </c>
      <c r="B134" s="17" t="s">
        <v>657</v>
      </c>
      <c r="C134" s="18">
        <v>30</v>
      </c>
      <c r="D134" s="17" t="s">
        <v>1058</v>
      </c>
      <c r="E134" s="17" t="s">
        <v>1022</v>
      </c>
      <c r="F134" s="17" t="s">
        <v>1029</v>
      </c>
      <c r="G134" s="17" t="s">
        <v>1039</v>
      </c>
      <c r="H134" s="30">
        <v>45785</v>
      </c>
      <c r="I134" s="30">
        <v>45790</v>
      </c>
      <c r="J134" s="25">
        <v>205318</v>
      </c>
      <c r="K134" s="18">
        <v>7</v>
      </c>
      <c r="L134" s="18">
        <v>18</v>
      </c>
      <c r="M134" s="18">
        <v>2</v>
      </c>
      <c r="N134" s="25">
        <v>0</v>
      </c>
      <c r="O134" s="18">
        <v>5</v>
      </c>
      <c r="P134" t="str">
        <f t="shared" si="4"/>
        <v>Adults</v>
      </c>
      <c r="Q134" t="str">
        <f t="shared" si="5"/>
        <v>High</v>
      </c>
      <c r="R134" t="str">
        <f>IF(OR(AND(Table1[[#This Row],[Diagnosis]]="Labour Complication",Table1[[#This Row],[Gender]]="M"), AND(Table1[[#This Row],[Diagnosis]]="Labour Complication",Table1[[#This Row],[Age]]&lt;15)),"Error","OK")</f>
        <v>OK</v>
      </c>
      <c r="S134" s="4">
        <f>Table1[[#This Row],[Bill_Amount]]+Table1[[#This Row],[Surgery_Cost]]</f>
        <v>205318</v>
      </c>
    </row>
    <row r="135" spans="1:19" x14ac:dyDescent="0.35">
      <c r="A135" s="19" t="s">
        <v>158</v>
      </c>
      <c r="B135" s="20" t="s">
        <v>658</v>
      </c>
      <c r="C135" s="21">
        <v>69</v>
      </c>
      <c r="D135" s="20" t="s">
        <v>1057</v>
      </c>
      <c r="E135" s="20" t="s">
        <v>1021</v>
      </c>
      <c r="F135" s="20" t="s">
        <v>1028</v>
      </c>
      <c r="G135" s="20" t="s">
        <v>1036</v>
      </c>
      <c r="H135" s="29">
        <v>45762</v>
      </c>
      <c r="I135" s="29">
        <v>45764</v>
      </c>
      <c r="J135" s="24">
        <v>421205</v>
      </c>
      <c r="K135" s="21">
        <v>6</v>
      </c>
      <c r="L135" s="21">
        <v>3</v>
      </c>
      <c r="M135" s="21">
        <v>2</v>
      </c>
      <c r="N135" s="24">
        <v>247398</v>
      </c>
      <c r="O135" s="21">
        <v>2</v>
      </c>
      <c r="P135" t="str">
        <f t="shared" si="4"/>
        <v>Older Adults</v>
      </c>
      <c r="Q135" t="str">
        <f t="shared" si="5"/>
        <v>High</v>
      </c>
      <c r="R135" t="str">
        <f>IF(OR(AND(Table1[[#This Row],[Diagnosis]]="Labour Complication",Table1[[#This Row],[Gender]]="M"), AND(Table1[[#This Row],[Diagnosis]]="Labour Complication",Table1[[#This Row],[Age]]&lt;15)),"Error","OK")</f>
        <v>OK</v>
      </c>
      <c r="S135" s="4">
        <f>Table1[[#This Row],[Bill_Amount]]+Table1[[#This Row],[Surgery_Cost]]</f>
        <v>668603</v>
      </c>
    </row>
    <row r="136" spans="1:19" x14ac:dyDescent="0.35">
      <c r="A136" s="16" t="s">
        <v>159</v>
      </c>
      <c r="B136" s="17" t="s">
        <v>659</v>
      </c>
      <c r="C136" s="18">
        <v>38</v>
      </c>
      <c r="D136" s="17" t="s">
        <v>1057</v>
      </c>
      <c r="E136" s="17" t="s">
        <v>1018</v>
      </c>
      <c r="F136" s="17" t="s">
        <v>1025</v>
      </c>
      <c r="G136" s="17" t="s">
        <v>1032</v>
      </c>
      <c r="H136" s="30">
        <v>45778</v>
      </c>
      <c r="I136" s="30">
        <v>45780</v>
      </c>
      <c r="J136" s="25">
        <v>340119</v>
      </c>
      <c r="K136" s="18">
        <v>3</v>
      </c>
      <c r="L136" s="18">
        <v>8</v>
      </c>
      <c r="M136" s="18">
        <v>3</v>
      </c>
      <c r="N136" s="25">
        <v>0</v>
      </c>
      <c r="O136" s="18">
        <v>2</v>
      </c>
      <c r="P136" t="str">
        <f t="shared" si="4"/>
        <v>Adults</v>
      </c>
      <c r="Q136" t="str">
        <f t="shared" si="5"/>
        <v>High</v>
      </c>
      <c r="R136" t="str">
        <f>IF(OR(AND(Table1[[#This Row],[Diagnosis]]="Labour Complication",Table1[[#This Row],[Gender]]="M"), AND(Table1[[#This Row],[Diagnosis]]="Labour Complication",Table1[[#This Row],[Age]]&lt;15)),"Error","OK")</f>
        <v>OK</v>
      </c>
      <c r="S136" s="4">
        <f>Table1[[#This Row],[Bill_Amount]]+Table1[[#This Row],[Surgery_Cost]]</f>
        <v>340119</v>
      </c>
    </row>
    <row r="137" spans="1:19" x14ac:dyDescent="0.35">
      <c r="A137" s="19" t="s">
        <v>160</v>
      </c>
      <c r="B137" s="20" t="s">
        <v>660</v>
      </c>
      <c r="C137" s="21">
        <v>14</v>
      </c>
      <c r="D137" s="20" t="s">
        <v>1057</v>
      </c>
      <c r="E137" s="20" t="s">
        <v>1022</v>
      </c>
      <c r="F137" s="20" t="s">
        <v>1029</v>
      </c>
      <c r="G137" s="20" t="s">
        <v>1041</v>
      </c>
      <c r="H137" s="29">
        <v>45792</v>
      </c>
      <c r="I137" s="29">
        <v>45806</v>
      </c>
      <c r="J137" s="24">
        <v>307361</v>
      </c>
      <c r="K137" s="21">
        <v>1</v>
      </c>
      <c r="L137" s="21">
        <v>12</v>
      </c>
      <c r="M137" s="21">
        <v>4</v>
      </c>
      <c r="N137" s="24">
        <v>0</v>
      </c>
      <c r="O137" s="21">
        <v>14</v>
      </c>
      <c r="P137" t="str">
        <f t="shared" si="4"/>
        <v>Teenagers</v>
      </c>
      <c r="Q137" t="str">
        <f t="shared" si="5"/>
        <v>High</v>
      </c>
      <c r="R137" t="str">
        <f>IF(OR(AND(Table1[[#This Row],[Diagnosis]]="Labour Complication",Table1[[#This Row],[Gender]]="M"), AND(Table1[[#This Row],[Diagnosis]]="Labour Complication",Table1[[#This Row],[Age]]&lt;15)),"Error","OK")</f>
        <v>OK</v>
      </c>
      <c r="S137" s="4">
        <f>Table1[[#This Row],[Bill_Amount]]+Table1[[#This Row],[Surgery_Cost]]</f>
        <v>307361</v>
      </c>
    </row>
    <row r="138" spans="1:19" x14ac:dyDescent="0.35">
      <c r="A138" s="16" t="s">
        <v>161</v>
      </c>
      <c r="B138" s="17" t="s">
        <v>661</v>
      </c>
      <c r="C138" s="18">
        <v>44</v>
      </c>
      <c r="D138" s="17" t="s">
        <v>1057</v>
      </c>
      <c r="E138" s="17" t="s">
        <v>1020</v>
      </c>
      <c r="F138" s="17" t="s">
        <v>1027</v>
      </c>
      <c r="G138" s="17" t="s">
        <v>1043</v>
      </c>
      <c r="H138" s="30">
        <v>45748</v>
      </c>
      <c r="I138" s="30">
        <v>45757</v>
      </c>
      <c r="J138" s="25">
        <v>280932</v>
      </c>
      <c r="K138" s="18">
        <v>6</v>
      </c>
      <c r="L138" s="18">
        <v>4</v>
      </c>
      <c r="M138" s="18">
        <v>3</v>
      </c>
      <c r="N138" s="25">
        <v>0</v>
      </c>
      <c r="O138" s="18">
        <v>9</v>
      </c>
      <c r="P138" t="str">
        <f t="shared" si="4"/>
        <v>Adults</v>
      </c>
      <c r="Q138" t="str">
        <f t="shared" si="5"/>
        <v>High</v>
      </c>
      <c r="R138" t="str">
        <f>IF(OR(AND(Table1[[#This Row],[Diagnosis]]="Labour Complication",Table1[[#This Row],[Gender]]="M"), AND(Table1[[#This Row],[Diagnosis]]="Labour Complication",Table1[[#This Row],[Age]]&lt;15)),"Error","OK")</f>
        <v>OK</v>
      </c>
      <c r="S138" s="4">
        <f>Table1[[#This Row],[Bill_Amount]]+Table1[[#This Row],[Surgery_Cost]]</f>
        <v>280932</v>
      </c>
    </row>
    <row r="139" spans="1:19" x14ac:dyDescent="0.35">
      <c r="A139" s="19" t="s">
        <v>162</v>
      </c>
      <c r="B139" s="20" t="s">
        <v>662</v>
      </c>
      <c r="C139" s="21">
        <v>15</v>
      </c>
      <c r="D139" s="20" t="s">
        <v>1057</v>
      </c>
      <c r="E139" s="20" t="s">
        <v>1021</v>
      </c>
      <c r="F139" s="20" t="s">
        <v>1028</v>
      </c>
      <c r="G139" s="20" t="s">
        <v>1036</v>
      </c>
      <c r="H139" s="29">
        <v>45801</v>
      </c>
      <c r="I139" s="29">
        <v>45816</v>
      </c>
      <c r="J139" s="24">
        <v>300467</v>
      </c>
      <c r="K139" s="21">
        <v>7</v>
      </c>
      <c r="L139" s="21">
        <v>7</v>
      </c>
      <c r="M139" s="21">
        <v>3</v>
      </c>
      <c r="N139" s="24">
        <v>102912</v>
      </c>
      <c r="O139" s="21">
        <v>15</v>
      </c>
      <c r="P139" t="str">
        <f t="shared" si="4"/>
        <v>Teenagers</v>
      </c>
      <c r="Q139" t="str">
        <f t="shared" si="5"/>
        <v>High</v>
      </c>
      <c r="R139" t="str">
        <f>IF(OR(AND(Table1[[#This Row],[Diagnosis]]="Labour Complication",Table1[[#This Row],[Gender]]="M"), AND(Table1[[#This Row],[Diagnosis]]="Labour Complication",Table1[[#This Row],[Age]]&lt;15)),"Error","OK")</f>
        <v>OK</v>
      </c>
      <c r="S139" s="4">
        <f>Table1[[#This Row],[Bill_Amount]]+Table1[[#This Row],[Surgery_Cost]]</f>
        <v>403379</v>
      </c>
    </row>
    <row r="140" spans="1:19" x14ac:dyDescent="0.35">
      <c r="A140" s="16" t="s">
        <v>163</v>
      </c>
      <c r="B140" s="17" t="s">
        <v>663</v>
      </c>
      <c r="C140" s="18">
        <v>81</v>
      </c>
      <c r="D140" s="17" t="s">
        <v>1057</v>
      </c>
      <c r="E140" s="17" t="s">
        <v>1020</v>
      </c>
      <c r="F140" s="17" t="s">
        <v>1027</v>
      </c>
      <c r="G140" s="17" t="s">
        <v>1043</v>
      </c>
      <c r="H140" s="30">
        <v>45761</v>
      </c>
      <c r="I140" s="30">
        <v>45764</v>
      </c>
      <c r="J140" s="25">
        <v>352525</v>
      </c>
      <c r="K140" s="18">
        <v>9</v>
      </c>
      <c r="L140" s="18">
        <v>19</v>
      </c>
      <c r="M140" s="18">
        <v>1</v>
      </c>
      <c r="N140" s="25">
        <v>0</v>
      </c>
      <c r="O140" s="18">
        <v>3</v>
      </c>
      <c r="P140" t="str">
        <f t="shared" si="4"/>
        <v>Older Adults</v>
      </c>
      <c r="Q140" t="str">
        <f t="shared" si="5"/>
        <v>High</v>
      </c>
      <c r="R140" t="str">
        <f>IF(OR(AND(Table1[[#This Row],[Diagnosis]]="Labour Complication",Table1[[#This Row],[Gender]]="M"), AND(Table1[[#This Row],[Diagnosis]]="Labour Complication",Table1[[#This Row],[Age]]&lt;15)),"Error","OK")</f>
        <v>OK</v>
      </c>
      <c r="S140" s="4">
        <f>Table1[[#This Row],[Bill_Amount]]+Table1[[#This Row],[Surgery_Cost]]</f>
        <v>352525</v>
      </c>
    </row>
    <row r="141" spans="1:19" x14ac:dyDescent="0.35">
      <c r="A141" s="19" t="s">
        <v>164</v>
      </c>
      <c r="B141" s="20" t="s">
        <v>664</v>
      </c>
      <c r="C141" s="21">
        <v>39</v>
      </c>
      <c r="D141" s="20" t="s">
        <v>1057</v>
      </c>
      <c r="E141" s="20" t="s">
        <v>1017</v>
      </c>
      <c r="F141" s="20" t="s">
        <v>1024</v>
      </c>
      <c r="G141" s="20" t="s">
        <v>1042</v>
      </c>
      <c r="H141" s="29">
        <v>45790</v>
      </c>
      <c r="I141" s="29">
        <v>45804</v>
      </c>
      <c r="J141" s="24">
        <v>345090</v>
      </c>
      <c r="K141" s="21">
        <v>8</v>
      </c>
      <c r="L141" s="21">
        <v>17</v>
      </c>
      <c r="M141" s="21">
        <v>4</v>
      </c>
      <c r="N141" s="24">
        <v>0</v>
      </c>
      <c r="O141" s="21">
        <v>14</v>
      </c>
      <c r="P141" t="str">
        <f t="shared" si="4"/>
        <v>Adults</v>
      </c>
      <c r="Q141" t="str">
        <f t="shared" si="5"/>
        <v>High</v>
      </c>
      <c r="R141" t="str">
        <f>IF(OR(AND(Table1[[#This Row],[Diagnosis]]="Labour Complication",Table1[[#This Row],[Gender]]="M"), AND(Table1[[#This Row],[Diagnosis]]="Labour Complication",Table1[[#This Row],[Age]]&lt;15)),"Error","OK")</f>
        <v>OK</v>
      </c>
      <c r="S141" s="4">
        <f>Table1[[#This Row],[Bill_Amount]]+Table1[[#This Row],[Surgery_Cost]]</f>
        <v>345090</v>
      </c>
    </row>
    <row r="142" spans="1:19" x14ac:dyDescent="0.35">
      <c r="A142" s="16" t="s">
        <v>165</v>
      </c>
      <c r="B142" s="17" t="s">
        <v>665</v>
      </c>
      <c r="C142" s="18">
        <v>54</v>
      </c>
      <c r="D142" s="17" t="s">
        <v>1057</v>
      </c>
      <c r="E142" s="17" t="s">
        <v>1018</v>
      </c>
      <c r="F142" s="17" t="s">
        <v>1025</v>
      </c>
      <c r="G142" s="17" t="s">
        <v>1032</v>
      </c>
      <c r="H142" s="30">
        <v>45798</v>
      </c>
      <c r="I142" s="30">
        <v>45808</v>
      </c>
      <c r="J142" s="25">
        <v>450788</v>
      </c>
      <c r="K142" s="18">
        <v>2</v>
      </c>
      <c r="L142" s="18">
        <v>15</v>
      </c>
      <c r="M142" s="18">
        <v>2</v>
      </c>
      <c r="N142" s="25">
        <v>0</v>
      </c>
      <c r="O142" s="18">
        <v>10</v>
      </c>
      <c r="P142" t="str">
        <f t="shared" si="4"/>
        <v>Adults</v>
      </c>
      <c r="Q142" t="str">
        <f t="shared" si="5"/>
        <v>High</v>
      </c>
      <c r="R142" t="str">
        <f>IF(OR(AND(Table1[[#This Row],[Diagnosis]]="Labour Complication",Table1[[#This Row],[Gender]]="M"), AND(Table1[[#This Row],[Diagnosis]]="Labour Complication",Table1[[#This Row],[Age]]&lt;15)),"Error","OK")</f>
        <v>OK</v>
      </c>
      <c r="S142" s="4">
        <f>Table1[[#This Row],[Bill_Amount]]+Table1[[#This Row],[Surgery_Cost]]</f>
        <v>450788</v>
      </c>
    </row>
    <row r="143" spans="1:19" x14ac:dyDescent="0.35">
      <c r="A143" s="19" t="s">
        <v>166</v>
      </c>
      <c r="B143" s="20" t="s">
        <v>666</v>
      </c>
      <c r="C143" s="21">
        <v>39</v>
      </c>
      <c r="D143" s="20" t="s">
        <v>1058</v>
      </c>
      <c r="E143" s="20" t="s">
        <v>1020</v>
      </c>
      <c r="F143" s="20" t="s">
        <v>1027</v>
      </c>
      <c r="G143" s="20" t="s">
        <v>1034</v>
      </c>
      <c r="H143" s="29">
        <v>45783</v>
      </c>
      <c r="I143" s="29">
        <v>45792</v>
      </c>
      <c r="J143" s="24">
        <v>282113</v>
      </c>
      <c r="K143" s="21">
        <v>7</v>
      </c>
      <c r="L143" s="21">
        <v>1</v>
      </c>
      <c r="M143" s="21">
        <v>2</v>
      </c>
      <c r="N143" s="24">
        <v>0</v>
      </c>
      <c r="O143" s="21">
        <v>9</v>
      </c>
      <c r="P143" t="str">
        <f t="shared" si="4"/>
        <v>Adults</v>
      </c>
      <c r="Q143" t="str">
        <f t="shared" si="5"/>
        <v>High</v>
      </c>
      <c r="R143" t="str">
        <f>IF(OR(AND(Table1[[#This Row],[Diagnosis]]="Labour Complication",Table1[[#This Row],[Gender]]="M"), AND(Table1[[#This Row],[Diagnosis]]="Labour Complication",Table1[[#This Row],[Age]]&lt;15)),"Error","OK")</f>
        <v>OK</v>
      </c>
      <c r="S143" s="4">
        <f>Table1[[#This Row],[Bill_Amount]]+Table1[[#This Row],[Surgery_Cost]]</f>
        <v>282113</v>
      </c>
    </row>
    <row r="144" spans="1:19" x14ac:dyDescent="0.35">
      <c r="A144" s="16" t="s">
        <v>167</v>
      </c>
      <c r="B144" s="17" t="s">
        <v>667</v>
      </c>
      <c r="C144" s="18">
        <v>79</v>
      </c>
      <c r="D144" s="17" t="s">
        <v>1057</v>
      </c>
      <c r="E144" s="17" t="s">
        <v>1019</v>
      </c>
      <c r="F144" s="17" t="s">
        <v>1026</v>
      </c>
      <c r="G144" s="17" t="s">
        <v>1033</v>
      </c>
      <c r="H144" s="30">
        <v>45754</v>
      </c>
      <c r="I144" s="30">
        <v>45765</v>
      </c>
      <c r="J144" s="25">
        <v>81578</v>
      </c>
      <c r="K144" s="18">
        <v>1</v>
      </c>
      <c r="L144" s="18">
        <v>16</v>
      </c>
      <c r="M144" s="18">
        <v>3</v>
      </c>
      <c r="N144" s="25">
        <v>0</v>
      </c>
      <c r="O144" s="18">
        <v>11</v>
      </c>
      <c r="P144" t="str">
        <f t="shared" si="4"/>
        <v>Older Adults</v>
      </c>
      <c r="Q144" t="str">
        <f t="shared" si="5"/>
        <v>Low</v>
      </c>
      <c r="R144" t="str">
        <f>IF(OR(AND(Table1[[#This Row],[Diagnosis]]="Labour Complication",Table1[[#This Row],[Gender]]="M"), AND(Table1[[#This Row],[Diagnosis]]="Labour Complication",Table1[[#This Row],[Age]]&lt;15)),"Error","OK")</f>
        <v>OK</v>
      </c>
      <c r="S144" s="4">
        <f>Table1[[#This Row],[Bill_Amount]]+Table1[[#This Row],[Surgery_Cost]]</f>
        <v>81578</v>
      </c>
    </row>
    <row r="145" spans="1:19" x14ac:dyDescent="0.35">
      <c r="A145" s="19" t="s">
        <v>168</v>
      </c>
      <c r="B145" s="20" t="s">
        <v>668</v>
      </c>
      <c r="C145" s="21">
        <v>85</v>
      </c>
      <c r="D145" s="20" t="s">
        <v>1057</v>
      </c>
      <c r="E145" s="20" t="s">
        <v>1016</v>
      </c>
      <c r="F145" s="20" t="s">
        <v>1023</v>
      </c>
      <c r="G145" s="20" t="s">
        <v>1030</v>
      </c>
      <c r="H145" s="29">
        <v>45748</v>
      </c>
      <c r="I145" s="29">
        <v>45753</v>
      </c>
      <c r="J145" s="24">
        <v>188750</v>
      </c>
      <c r="K145" s="21">
        <v>8</v>
      </c>
      <c r="L145" s="21">
        <v>5</v>
      </c>
      <c r="M145" s="21">
        <v>2</v>
      </c>
      <c r="N145" s="24">
        <v>0</v>
      </c>
      <c r="O145" s="21">
        <v>5</v>
      </c>
      <c r="P145" t="str">
        <f t="shared" si="4"/>
        <v>Older Adults</v>
      </c>
      <c r="Q145" t="str">
        <f t="shared" si="5"/>
        <v>High</v>
      </c>
      <c r="R145" t="str">
        <f>IF(OR(AND(Table1[[#This Row],[Diagnosis]]="Labour Complication",Table1[[#This Row],[Gender]]="M"), AND(Table1[[#This Row],[Diagnosis]]="Labour Complication",Table1[[#This Row],[Age]]&lt;15)),"Error","OK")</f>
        <v>OK</v>
      </c>
      <c r="S145" s="4">
        <f>Table1[[#This Row],[Bill_Amount]]+Table1[[#This Row],[Surgery_Cost]]</f>
        <v>188750</v>
      </c>
    </row>
    <row r="146" spans="1:19" x14ac:dyDescent="0.35">
      <c r="A146" s="16" t="s">
        <v>169</v>
      </c>
      <c r="B146" s="17" t="s">
        <v>669</v>
      </c>
      <c r="C146" s="18">
        <v>10</v>
      </c>
      <c r="D146" s="17" t="s">
        <v>1057</v>
      </c>
      <c r="E146" s="17" t="s">
        <v>1017</v>
      </c>
      <c r="F146" s="17" t="s">
        <v>1024</v>
      </c>
      <c r="G146" s="17" t="s">
        <v>1042</v>
      </c>
      <c r="H146" s="30">
        <v>45794</v>
      </c>
      <c r="I146" s="30">
        <v>45798</v>
      </c>
      <c r="J146" s="25">
        <v>339402</v>
      </c>
      <c r="K146" s="18">
        <v>9</v>
      </c>
      <c r="L146" s="18">
        <v>12</v>
      </c>
      <c r="M146" s="18">
        <v>2</v>
      </c>
      <c r="N146" s="25">
        <v>0</v>
      </c>
      <c r="O146" s="18">
        <v>4</v>
      </c>
      <c r="P146" t="str">
        <f t="shared" si="4"/>
        <v>Children</v>
      </c>
      <c r="Q146" t="str">
        <f t="shared" si="5"/>
        <v>High</v>
      </c>
      <c r="R146" t="str">
        <f>IF(OR(AND(Table1[[#This Row],[Diagnosis]]="Labour Complication",Table1[[#This Row],[Gender]]="M"), AND(Table1[[#This Row],[Diagnosis]]="Labour Complication",Table1[[#This Row],[Age]]&lt;15)),"Error","OK")</f>
        <v>OK</v>
      </c>
      <c r="S146" s="4">
        <f>Table1[[#This Row],[Bill_Amount]]+Table1[[#This Row],[Surgery_Cost]]</f>
        <v>339402</v>
      </c>
    </row>
    <row r="147" spans="1:19" x14ac:dyDescent="0.35">
      <c r="A147" s="19" t="s">
        <v>170</v>
      </c>
      <c r="B147" s="20" t="s">
        <v>670</v>
      </c>
      <c r="C147" s="21">
        <v>77</v>
      </c>
      <c r="D147" s="20" t="s">
        <v>1058</v>
      </c>
      <c r="E147" s="20" t="s">
        <v>1020</v>
      </c>
      <c r="F147" s="20" t="s">
        <v>1027</v>
      </c>
      <c r="G147" s="20" t="s">
        <v>1034</v>
      </c>
      <c r="H147" s="29">
        <v>45788</v>
      </c>
      <c r="I147" s="29">
        <v>45797</v>
      </c>
      <c r="J147" s="24">
        <v>411429</v>
      </c>
      <c r="K147" s="21">
        <v>8</v>
      </c>
      <c r="L147" s="21">
        <v>17</v>
      </c>
      <c r="M147" s="21">
        <v>2</v>
      </c>
      <c r="N147" s="24">
        <v>0</v>
      </c>
      <c r="O147" s="21">
        <v>9</v>
      </c>
      <c r="P147" t="str">
        <f t="shared" si="4"/>
        <v>Older Adults</v>
      </c>
      <c r="Q147" t="str">
        <f t="shared" si="5"/>
        <v>High</v>
      </c>
      <c r="R147" t="str">
        <f>IF(OR(AND(Table1[[#This Row],[Diagnosis]]="Labour Complication",Table1[[#This Row],[Gender]]="M"), AND(Table1[[#This Row],[Diagnosis]]="Labour Complication",Table1[[#This Row],[Age]]&lt;15)),"Error","OK")</f>
        <v>OK</v>
      </c>
      <c r="S147" s="4">
        <f>Table1[[#This Row],[Bill_Amount]]+Table1[[#This Row],[Surgery_Cost]]</f>
        <v>411429</v>
      </c>
    </row>
    <row r="148" spans="1:19" x14ac:dyDescent="0.35">
      <c r="A148" s="16" t="s">
        <v>171</v>
      </c>
      <c r="B148" s="17" t="s">
        <v>671</v>
      </c>
      <c r="C148" s="18">
        <v>37</v>
      </c>
      <c r="D148" s="17" t="s">
        <v>1058</v>
      </c>
      <c r="E148" s="17" t="s">
        <v>1018</v>
      </c>
      <c r="F148" s="17" t="s">
        <v>1025</v>
      </c>
      <c r="G148" s="17" t="s">
        <v>1044</v>
      </c>
      <c r="H148" s="30">
        <v>45755</v>
      </c>
      <c r="I148" s="30">
        <v>45760</v>
      </c>
      <c r="J148" s="25">
        <v>201049</v>
      </c>
      <c r="K148" s="18">
        <v>7</v>
      </c>
      <c r="L148" s="18">
        <v>2</v>
      </c>
      <c r="M148" s="18">
        <v>3</v>
      </c>
      <c r="N148" s="25">
        <v>0</v>
      </c>
      <c r="O148" s="18">
        <v>5</v>
      </c>
      <c r="P148" t="str">
        <f t="shared" si="4"/>
        <v>Adults</v>
      </c>
      <c r="Q148" t="str">
        <f t="shared" si="5"/>
        <v>High</v>
      </c>
      <c r="R148" t="str">
        <f>IF(OR(AND(Table1[[#This Row],[Diagnosis]]="Labour Complication",Table1[[#This Row],[Gender]]="M"), AND(Table1[[#This Row],[Diagnosis]]="Labour Complication",Table1[[#This Row],[Age]]&lt;15)),"Error","OK")</f>
        <v>OK</v>
      </c>
      <c r="S148" s="4">
        <f>Table1[[#This Row],[Bill_Amount]]+Table1[[#This Row],[Surgery_Cost]]</f>
        <v>201049</v>
      </c>
    </row>
    <row r="149" spans="1:19" x14ac:dyDescent="0.35">
      <c r="A149" s="19" t="s">
        <v>172</v>
      </c>
      <c r="B149" s="20" t="s">
        <v>672</v>
      </c>
      <c r="C149" s="21">
        <v>81</v>
      </c>
      <c r="D149" s="20" t="s">
        <v>1057</v>
      </c>
      <c r="E149" s="20" t="s">
        <v>1016</v>
      </c>
      <c r="F149" s="20" t="s">
        <v>1023</v>
      </c>
      <c r="G149" s="20" t="s">
        <v>1040</v>
      </c>
      <c r="H149" s="29">
        <v>45758</v>
      </c>
      <c r="I149" s="29">
        <v>45763</v>
      </c>
      <c r="J149" s="24">
        <v>188702</v>
      </c>
      <c r="K149" s="21">
        <v>9</v>
      </c>
      <c r="L149" s="21">
        <v>3</v>
      </c>
      <c r="M149" s="21">
        <v>2</v>
      </c>
      <c r="N149" s="24">
        <v>0</v>
      </c>
      <c r="O149" s="21">
        <v>5</v>
      </c>
      <c r="P149" t="str">
        <f t="shared" si="4"/>
        <v>Older Adults</v>
      </c>
      <c r="Q149" t="str">
        <f t="shared" si="5"/>
        <v>High</v>
      </c>
      <c r="R149" t="str">
        <f>IF(OR(AND(Table1[[#This Row],[Diagnosis]]="Labour Complication",Table1[[#This Row],[Gender]]="M"), AND(Table1[[#This Row],[Diagnosis]]="Labour Complication",Table1[[#This Row],[Age]]&lt;15)),"Error","OK")</f>
        <v>OK</v>
      </c>
      <c r="S149" s="4">
        <f>Table1[[#This Row],[Bill_Amount]]+Table1[[#This Row],[Surgery_Cost]]</f>
        <v>188702</v>
      </c>
    </row>
    <row r="150" spans="1:19" x14ac:dyDescent="0.35">
      <c r="A150" s="16" t="s">
        <v>173</v>
      </c>
      <c r="B150" s="17" t="s">
        <v>673</v>
      </c>
      <c r="C150" s="18">
        <v>83</v>
      </c>
      <c r="D150" s="17" t="s">
        <v>1057</v>
      </c>
      <c r="E150" s="17" t="s">
        <v>1018</v>
      </c>
      <c r="F150" s="17" t="s">
        <v>1025</v>
      </c>
      <c r="G150" s="17" t="s">
        <v>1037</v>
      </c>
      <c r="H150" s="30">
        <v>45775</v>
      </c>
      <c r="I150" s="30">
        <v>45785</v>
      </c>
      <c r="J150" s="25">
        <v>167864</v>
      </c>
      <c r="K150" s="18">
        <v>4</v>
      </c>
      <c r="L150" s="18">
        <v>17</v>
      </c>
      <c r="M150" s="18">
        <v>2</v>
      </c>
      <c r="N150" s="25">
        <v>0</v>
      </c>
      <c r="O150" s="18">
        <v>10</v>
      </c>
      <c r="P150" t="str">
        <f t="shared" si="4"/>
        <v>Older Adults</v>
      </c>
      <c r="Q150" t="str">
        <f t="shared" si="5"/>
        <v>High</v>
      </c>
      <c r="R150" t="str">
        <f>IF(OR(AND(Table1[[#This Row],[Diagnosis]]="Labour Complication",Table1[[#This Row],[Gender]]="M"), AND(Table1[[#This Row],[Diagnosis]]="Labour Complication",Table1[[#This Row],[Age]]&lt;15)),"Error","OK")</f>
        <v>OK</v>
      </c>
      <c r="S150" s="4">
        <f>Table1[[#This Row],[Bill_Amount]]+Table1[[#This Row],[Surgery_Cost]]</f>
        <v>167864</v>
      </c>
    </row>
    <row r="151" spans="1:19" x14ac:dyDescent="0.35">
      <c r="A151" s="19" t="s">
        <v>174</v>
      </c>
      <c r="B151" s="20" t="s">
        <v>674</v>
      </c>
      <c r="C151" s="21">
        <v>8</v>
      </c>
      <c r="D151" s="20" t="s">
        <v>1057</v>
      </c>
      <c r="E151" s="20" t="s">
        <v>1022</v>
      </c>
      <c r="F151" s="20" t="s">
        <v>1029</v>
      </c>
      <c r="G151" s="20" t="s">
        <v>1041</v>
      </c>
      <c r="H151" s="29">
        <v>45766</v>
      </c>
      <c r="I151" s="29">
        <v>45770</v>
      </c>
      <c r="J151" s="24">
        <v>87439</v>
      </c>
      <c r="K151" s="21">
        <v>7</v>
      </c>
      <c r="L151" s="21">
        <v>3</v>
      </c>
      <c r="M151" s="21">
        <v>1</v>
      </c>
      <c r="N151" s="24">
        <v>0</v>
      </c>
      <c r="O151" s="21">
        <v>4</v>
      </c>
      <c r="P151" t="str">
        <f t="shared" si="4"/>
        <v>Children</v>
      </c>
      <c r="Q151" t="str">
        <f t="shared" si="5"/>
        <v>Low</v>
      </c>
      <c r="R151" t="str">
        <f>IF(OR(AND(Table1[[#This Row],[Diagnosis]]="Labour Complication",Table1[[#This Row],[Gender]]="M"), AND(Table1[[#This Row],[Diagnosis]]="Labour Complication",Table1[[#This Row],[Age]]&lt;15)),"Error","OK")</f>
        <v>OK</v>
      </c>
      <c r="S151" s="4">
        <f>Table1[[#This Row],[Bill_Amount]]+Table1[[#This Row],[Surgery_Cost]]</f>
        <v>87439</v>
      </c>
    </row>
    <row r="152" spans="1:19" x14ac:dyDescent="0.35">
      <c r="A152" s="16" t="s">
        <v>175</v>
      </c>
      <c r="B152" s="17" t="s">
        <v>675</v>
      </c>
      <c r="C152" s="18">
        <v>73</v>
      </c>
      <c r="D152" s="17" t="s">
        <v>1058</v>
      </c>
      <c r="E152" s="17" t="s">
        <v>1019</v>
      </c>
      <c r="F152" s="17" t="s">
        <v>1026</v>
      </c>
      <c r="G152" s="17" t="s">
        <v>1038</v>
      </c>
      <c r="H152" s="30">
        <v>45765</v>
      </c>
      <c r="I152" s="30">
        <v>45778</v>
      </c>
      <c r="J152" s="25">
        <v>482139</v>
      </c>
      <c r="K152" s="18">
        <v>9</v>
      </c>
      <c r="L152" s="18">
        <v>13</v>
      </c>
      <c r="M152" s="18">
        <v>2</v>
      </c>
      <c r="N152" s="25">
        <v>0</v>
      </c>
      <c r="O152" s="18">
        <v>13</v>
      </c>
      <c r="P152" t="str">
        <f t="shared" si="4"/>
        <v>Older Adults</v>
      </c>
      <c r="Q152" t="str">
        <f t="shared" si="5"/>
        <v>High</v>
      </c>
      <c r="R152" t="str">
        <f>IF(OR(AND(Table1[[#This Row],[Diagnosis]]="Labour Complication",Table1[[#This Row],[Gender]]="M"), AND(Table1[[#This Row],[Diagnosis]]="Labour Complication",Table1[[#This Row],[Age]]&lt;15)),"Error","OK")</f>
        <v>OK</v>
      </c>
      <c r="S152" s="4">
        <f>Table1[[#This Row],[Bill_Amount]]+Table1[[#This Row],[Surgery_Cost]]</f>
        <v>482139</v>
      </c>
    </row>
    <row r="153" spans="1:19" x14ac:dyDescent="0.35">
      <c r="A153" s="19" t="s">
        <v>176</v>
      </c>
      <c r="B153" s="20" t="s">
        <v>676</v>
      </c>
      <c r="C153" s="21">
        <v>39</v>
      </c>
      <c r="D153" s="20" t="s">
        <v>1058</v>
      </c>
      <c r="E153" s="20" t="s">
        <v>1018</v>
      </c>
      <c r="F153" s="20" t="s">
        <v>1025</v>
      </c>
      <c r="G153" s="20" t="s">
        <v>1037</v>
      </c>
      <c r="H153" s="29">
        <v>45775</v>
      </c>
      <c r="I153" s="29">
        <v>45784</v>
      </c>
      <c r="J153" s="24">
        <v>411065</v>
      </c>
      <c r="K153" s="21">
        <v>5</v>
      </c>
      <c r="L153" s="21">
        <v>14</v>
      </c>
      <c r="M153" s="21">
        <v>1</v>
      </c>
      <c r="N153" s="24">
        <v>0</v>
      </c>
      <c r="O153" s="21">
        <v>9</v>
      </c>
      <c r="P153" t="str">
        <f t="shared" si="4"/>
        <v>Adults</v>
      </c>
      <c r="Q153" t="str">
        <f t="shared" si="5"/>
        <v>High</v>
      </c>
      <c r="R153" t="str">
        <f>IF(OR(AND(Table1[[#This Row],[Diagnosis]]="Labour Complication",Table1[[#This Row],[Gender]]="M"), AND(Table1[[#This Row],[Diagnosis]]="Labour Complication",Table1[[#This Row],[Age]]&lt;15)),"Error","OK")</f>
        <v>OK</v>
      </c>
      <c r="S153" s="4">
        <f>Table1[[#This Row],[Bill_Amount]]+Table1[[#This Row],[Surgery_Cost]]</f>
        <v>411065</v>
      </c>
    </row>
    <row r="154" spans="1:19" x14ac:dyDescent="0.35">
      <c r="A154" s="16" t="s">
        <v>177</v>
      </c>
      <c r="B154" s="17" t="s">
        <v>677</v>
      </c>
      <c r="C154" s="18">
        <v>57</v>
      </c>
      <c r="D154" s="17" t="s">
        <v>1057</v>
      </c>
      <c r="E154" s="17" t="s">
        <v>1019</v>
      </c>
      <c r="F154" s="17" t="s">
        <v>1026</v>
      </c>
      <c r="G154" s="17" t="s">
        <v>1033</v>
      </c>
      <c r="H154" s="30">
        <v>45794</v>
      </c>
      <c r="I154" s="30">
        <v>45804</v>
      </c>
      <c r="J154" s="25">
        <v>308890</v>
      </c>
      <c r="K154" s="18">
        <v>7</v>
      </c>
      <c r="L154" s="18">
        <v>2</v>
      </c>
      <c r="M154" s="18">
        <v>2</v>
      </c>
      <c r="N154" s="25">
        <v>0</v>
      </c>
      <c r="O154" s="18">
        <v>10</v>
      </c>
      <c r="P154" t="str">
        <f t="shared" si="4"/>
        <v>Adults</v>
      </c>
      <c r="Q154" t="str">
        <f t="shared" si="5"/>
        <v>High</v>
      </c>
      <c r="R154" t="str">
        <f>IF(OR(AND(Table1[[#This Row],[Diagnosis]]="Labour Complication",Table1[[#This Row],[Gender]]="M"), AND(Table1[[#This Row],[Diagnosis]]="Labour Complication",Table1[[#This Row],[Age]]&lt;15)),"Error","OK")</f>
        <v>OK</v>
      </c>
      <c r="S154" s="4">
        <f>Table1[[#This Row],[Bill_Amount]]+Table1[[#This Row],[Surgery_Cost]]</f>
        <v>308890</v>
      </c>
    </row>
    <row r="155" spans="1:19" x14ac:dyDescent="0.35">
      <c r="A155" s="19" t="s">
        <v>178</v>
      </c>
      <c r="B155" s="20" t="s">
        <v>678</v>
      </c>
      <c r="C155" s="21">
        <v>78</v>
      </c>
      <c r="D155" s="20" t="s">
        <v>1058</v>
      </c>
      <c r="E155" s="20" t="s">
        <v>1020</v>
      </c>
      <c r="F155" s="20" t="s">
        <v>1027</v>
      </c>
      <c r="G155" s="20" t="s">
        <v>1043</v>
      </c>
      <c r="H155" s="29">
        <v>45762</v>
      </c>
      <c r="I155" s="29">
        <v>45775</v>
      </c>
      <c r="J155" s="24">
        <v>218989</v>
      </c>
      <c r="K155" s="21">
        <v>5</v>
      </c>
      <c r="L155" s="21">
        <v>11</v>
      </c>
      <c r="M155" s="21">
        <v>4</v>
      </c>
      <c r="N155" s="24">
        <v>0</v>
      </c>
      <c r="O155" s="21">
        <v>13</v>
      </c>
      <c r="P155" t="str">
        <f t="shared" si="4"/>
        <v>Older Adults</v>
      </c>
      <c r="Q155" t="str">
        <f t="shared" si="5"/>
        <v>High</v>
      </c>
      <c r="R155" t="str">
        <f>IF(OR(AND(Table1[[#This Row],[Diagnosis]]="Labour Complication",Table1[[#This Row],[Gender]]="M"), AND(Table1[[#This Row],[Diagnosis]]="Labour Complication",Table1[[#This Row],[Age]]&lt;15)),"Error","OK")</f>
        <v>OK</v>
      </c>
      <c r="S155" s="4">
        <f>Table1[[#This Row],[Bill_Amount]]+Table1[[#This Row],[Surgery_Cost]]</f>
        <v>218989</v>
      </c>
    </row>
    <row r="156" spans="1:19" x14ac:dyDescent="0.35">
      <c r="A156" s="16" t="s">
        <v>179</v>
      </c>
      <c r="B156" s="17" t="s">
        <v>679</v>
      </c>
      <c r="C156" s="18">
        <v>74</v>
      </c>
      <c r="D156" s="17" t="s">
        <v>1057</v>
      </c>
      <c r="E156" s="17" t="s">
        <v>1018</v>
      </c>
      <c r="F156" s="17" t="s">
        <v>1025</v>
      </c>
      <c r="G156" s="17" t="s">
        <v>1032</v>
      </c>
      <c r="H156" s="30">
        <v>45769</v>
      </c>
      <c r="I156" s="30">
        <v>45774</v>
      </c>
      <c r="J156" s="25">
        <v>403526</v>
      </c>
      <c r="K156" s="18">
        <v>4</v>
      </c>
      <c r="L156" s="18">
        <v>15</v>
      </c>
      <c r="M156" s="18">
        <v>1</v>
      </c>
      <c r="N156" s="25">
        <v>0</v>
      </c>
      <c r="O156" s="18">
        <v>5</v>
      </c>
      <c r="P156" t="str">
        <f t="shared" si="4"/>
        <v>Older Adults</v>
      </c>
      <c r="Q156" t="str">
        <f t="shared" si="5"/>
        <v>High</v>
      </c>
      <c r="R156" t="str">
        <f>IF(OR(AND(Table1[[#This Row],[Diagnosis]]="Labour Complication",Table1[[#This Row],[Gender]]="M"), AND(Table1[[#This Row],[Diagnosis]]="Labour Complication",Table1[[#This Row],[Age]]&lt;15)),"Error","OK")</f>
        <v>OK</v>
      </c>
      <c r="S156" s="4">
        <f>Table1[[#This Row],[Bill_Amount]]+Table1[[#This Row],[Surgery_Cost]]</f>
        <v>403526</v>
      </c>
    </row>
    <row r="157" spans="1:19" x14ac:dyDescent="0.35">
      <c r="A157" s="19" t="s">
        <v>180</v>
      </c>
      <c r="B157" s="20" t="s">
        <v>680</v>
      </c>
      <c r="C157" s="21">
        <v>6</v>
      </c>
      <c r="D157" s="20" t="s">
        <v>1057</v>
      </c>
      <c r="E157" s="20" t="s">
        <v>1022</v>
      </c>
      <c r="F157" s="20" t="s">
        <v>1029</v>
      </c>
      <c r="G157" s="20" t="s">
        <v>1041</v>
      </c>
      <c r="H157" s="29">
        <v>45784</v>
      </c>
      <c r="I157" s="29">
        <v>45790</v>
      </c>
      <c r="J157" s="24">
        <v>352119</v>
      </c>
      <c r="K157" s="21">
        <v>9</v>
      </c>
      <c r="L157" s="21">
        <v>2</v>
      </c>
      <c r="M157" s="21">
        <v>1</v>
      </c>
      <c r="N157" s="24">
        <v>0</v>
      </c>
      <c r="O157" s="21">
        <v>6</v>
      </c>
      <c r="P157" t="str">
        <f t="shared" si="4"/>
        <v>Children</v>
      </c>
      <c r="Q157" t="str">
        <f t="shared" si="5"/>
        <v>High</v>
      </c>
      <c r="R157" t="str">
        <f>IF(OR(AND(Table1[[#This Row],[Diagnosis]]="Labour Complication",Table1[[#This Row],[Gender]]="M"), AND(Table1[[#This Row],[Diagnosis]]="Labour Complication",Table1[[#This Row],[Age]]&lt;15)),"Error","OK")</f>
        <v>OK</v>
      </c>
      <c r="S157" s="4">
        <f>Table1[[#This Row],[Bill_Amount]]+Table1[[#This Row],[Surgery_Cost]]</f>
        <v>352119</v>
      </c>
    </row>
    <row r="158" spans="1:19" x14ac:dyDescent="0.35">
      <c r="A158" s="16" t="s">
        <v>181</v>
      </c>
      <c r="B158" s="17" t="s">
        <v>681</v>
      </c>
      <c r="C158" s="18">
        <v>36</v>
      </c>
      <c r="D158" s="17" t="s">
        <v>1057</v>
      </c>
      <c r="E158" s="17" t="s">
        <v>1019</v>
      </c>
      <c r="F158" s="17" t="s">
        <v>1026</v>
      </c>
      <c r="G158" s="17" t="s">
        <v>1038</v>
      </c>
      <c r="H158" s="30">
        <v>45763</v>
      </c>
      <c r="I158" s="30">
        <v>45775</v>
      </c>
      <c r="J158" s="25">
        <v>281855</v>
      </c>
      <c r="K158" s="18">
        <v>4</v>
      </c>
      <c r="L158" s="18">
        <v>12</v>
      </c>
      <c r="M158" s="18">
        <v>4</v>
      </c>
      <c r="N158" s="25">
        <v>0</v>
      </c>
      <c r="O158" s="18">
        <v>12</v>
      </c>
      <c r="P158" t="str">
        <f t="shared" si="4"/>
        <v>Adults</v>
      </c>
      <c r="Q158" t="str">
        <f t="shared" si="5"/>
        <v>High</v>
      </c>
      <c r="R158" t="str">
        <f>IF(OR(AND(Table1[[#This Row],[Diagnosis]]="Labour Complication",Table1[[#This Row],[Gender]]="M"), AND(Table1[[#This Row],[Diagnosis]]="Labour Complication",Table1[[#This Row],[Age]]&lt;15)),"Error","OK")</f>
        <v>OK</v>
      </c>
      <c r="S158" s="4">
        <f>Table1[[#This Row],[Bill_Amount]]+Table1[[#This Row],[Surgery_Cost]]</f>
        <v>281855</v>
      </c>
    </row>
    <row r="159" spans="1:19" x14ac:dyDescent="0.35">
      <c r="A159" s="19" t="s">
        <v>182</v>
      </c>
      <c r="B159" s="20" t="s">
        <v>682</v>
      </c>
      <c r="C159" s="21">
        <v>12</v>
      </c>
      <c r="D159" s="20" t="s">
        <v>1058</v>
      </c>
      <c r="E159" s="20" t="s">
        <v>1016</v>
      </c>
      <c r="F159" s="20" t="s">
        <v>1023</v>
      </c>
      <c r="G159" s="20" t="s">
        <v>1040</v>
      </c>
      <c r="H159" s="29">
        <v>45783</v>
      </c>
      <c r="I159" s="29">
        <v>45798</v>
      </c>
      <c r="J159" s="24">
        <v>307805</v>
      </c>
      <c r="K159" s="21">
        <v>5</v>
      </c>
      <c r="L159" s="21">
        <v>8</v>
      </c>
      <c r="M159" s="21">
        <v>1</v>
      </c>
      <c r="N159" s="24">
        <v>0</v>
      </c>
      <c r="O159" s="21">
        <v>15</v>
      </c>
      <c r="P159" t="str">
        <f t="shared" si="4"/>
        <v>Children</v>
      </c>
      <c r="Q159" t="str">
        <f t="shared" si="5"/>
        <v>High</v>
      </c>
      <c r="R159" t="str">
        <f>IF(OR(AND(Table1[[#This Row],[Diagnosis]]="Labour Complication",Table1[[#This Row],[Gender]]="M"), AND(Table1[[#This Row],[Diagnosis]]="Labour Complication",Table1[[#This Row],[Age]]&lt;15)),"Error","OK")</f>
        <v>OK</v>
      </c>
      <c r="S159" s="4">
        <f>Table1[[#This Row],[Bill_Amount]]+Table1[[#This Row],[Surgery_Cost]]</f>
        <v>307805</v>
      </c>
    </row>
    <row r="160" spans="1:19" x14ac:dyDescent="0.35">
      <c r="A160" s="16" t="s">
        <v>183</v>
      </c>
      <c r="B160" s="17" t="s">
        <v>683</v>
      </c>
      <c r="C160" s="18">
        <v>86</v>
      </c>
      <c r="D160" s="17" t="s">
        <v>1057</v>
      </c>
      <c r="E160" s="17" t="s">
        <v>1020</v>
      </c>
      <c r="F160" s="17" t="s">
        <v>1027</v>
      </c>
      <c r="G160" s="17" t="s">
        <v>1043</v>
      </c>
      <c r="H160" s="30">
        <v>45765</v>
      </c>
      <c r="I160" s="30">
        <v>45772</v>
      </c>
      <c r="J160" s="25">
        <v>218326</v>
      </c>
      <c r="K160" s="18">
        <v>9</v>
      </c>
      <c r="L160" s="18">
        <v>9</v>
      </c>
      <c r="M160" s="18">
        <v>2</v>
      </c>
      <c r="N160" s="25">
        <v>0</v>
      </c>
      <c r="O160" s="18">
        <v>7</v>
      </c>
      <c r="P160" t="str">
        <f t="shared" si="4"/>
        <v>Older Adults</v>
      </c>
      <c r="Q160" t="str">
        <f t="shared" si="5"/>
        <v>High</v>
      </c>
      <c r="R160" t="str">
        <f>IF(OR(AND(Table1[[#This Row],[Diagnosis]]="Labour Complication",Table1[[#This Row],[Gender]]="M"), AND(Table1[[#This Row],[Diagnosis]]="Labour Complication",Table1[[#This Row],[Age]]&lt;15)),"Error","OK")</f>
        <v>OK</v>
      </c>
      <c r="S160" s="4">
        <f>Table1[[#This Row],[Bill_Amount]]+Table1[[#This Row],[Surgery_Cost]]</f>
        <v>218326</v>
      </c>
    </row>
    <row r="161" spans="1:19" x14ac:dyDescent="0.35">
      <c r="A161" s="19" t="s">
        <v>184</v>
      </c>
      <c r="B161" s="20" t="s">
        <v>684</v>
      </c>
      <c r="C161" s="21">
        <v>64</v>
      </c>
      <c r="D161" s="20" t="s">
        <v>1058</v>
      </c>
      <c r="E161" s="20" t="s">
        <v>1021</v>
      </c>
      <c r="F161" s="20" t="s">
        <v>1028</v>
      </c>
      <c r="G161" s="20" t="s">
        <v>1036</v>
      </c>
      <c r="H161" s="29">
        <v>45765</v>
      </c>
      <c r="I161" s="29">
        <v>45773</v>
      </c>
      <c r="J161" s="24">
        <v>413684</v>
      </c>
      <c r="K161" s="21">
        <v>9</v>
      </c>
      <c r="L161" s="21">
        <v>14</v>
      </c>
      <c r="M161" s="21">
        <v>1</v>
      </c>
      <c r="N161" s="24">
        <v>169599</v>
      </c>
      <c r="O161" s="21">
        <v>8</v>
      </c>
      <c r="P161" t="str">
        <f t="shared" si="4"/>
        <v>Older Adults</v>
      </c>
      <c r="Q161" t="str">
        <f t="shared" si="5"/>
        <v>High</v>
      </c>
      <c r="R161" t="str">
        <f>IF(OR(AND(Table1[[#This Row],[Diagnosis]]="Labour Complication",Table1[[#This Row],[Gender]]="M"), AND(Table1[[#This Row],[Diagnosis]]="Labour Complication",Table1[[#This Row],[Age]]&lt;15)),"Error","OK")</f>
        <v>OK</v>
      </c>
      <c r="S161" s="4">
        <f>Table1[[#This Row],[Bill_Amount]]+Table1[[#This Row],[Surgery_Cost]]</f>
        <v>583283</v>
      </c>
    </row>
    <row r="162" spans="1:19" x14ac:dyDescent="0.35">
      <c r="A162" s="16" t="s">
        <v>185</v>
      </c>
      <c r="B162" s="17" t="s">
        <v>685</v>
      </c>
      <c r="C162" s="18">
        <v>5</v>
      </c>
      <c r="D162" s="17" t="s">
        <v>1058</v>
      </c>
      <c r="E162" s="17" t="s">
        <v>1022</v>
      </c>
      <c r="F162" s="17" t="s">
        <v>1029</v>
      </c>
      <c r="G162" s="17" t="s">
        <v>1039</v>
      </c>
      <c r="H162" s="30">
        <v>45755</v>
      </c>
      <c r="I162" s="30">
        <v>45769</v>
      </c>
      <c r="J162" s="25">
        <v>338409</v>
      </c>
      <c r="K162" s="18">
        <v>3</v>
      </c>
      <c r="L162" s="18">
        <v>18</v>
      </c>
      <c r="M162" s="18">
        <v>4</v>
      </c>
      <c r="N162" s="25">
        <v>0</v>
      </c>
      <c r="O162" s="18">
        <v>14</v>
      </c>
      <c r="P162" t="str">
        <f t="shared" si="4"/>
        <v>Children</v>
      </c>
      <c r="Q162" t="str">
        <f t="shared" si="5"/>
        <v>High</v>
      </c>
      <c r="R162" t="str">
        <f>IF(OR(AND(Table1[[#This Row],[Diagnosis]]="Labour Complication",Table1[[#This Row],[Gender]]="M"), AND(Table1[[#This Row],[Diagnosis]]="Labour Complication",Table1[[#This Row],[Age]]&lt;15)),"Error","OK")</f>
        <v>OK</v>
      </c>
      <c r="S162" s="4">
        <f>Table1[[#This Row],[Bill_Amount]]+Table1[[#This Row],[Surgery_Cost]]</f>
        <v>338409</v>
      </c>
    </row>
    <row r="163" spans="1:19" x14ac:dyDescent="0.35">
      <c r="A163" s="19" t="s">
        <v>186</v>
      </c>
      <c r="B163" s="20" t="s">
        <v>686</v>
      </c>
      <c r="C163" s="21">
        <v>15</v>
      </c>
      <c r="D163" s="20" t="s">
        <v>1058</v>
      </c>
      <c r="E163" s="20" t="s">
        <v>1021</v>
      </c>
      <c r="F163" s="20" t="s">
        <v>1028</v>
      </c>
      <c r="G163" s="20" t="s">
        <v>1035</v>
      </c>
      <c r="H163" s="29">
        <v>45788</v>
      </c>
      <c r="I163" s="29">
        <v>45794</v>
      </c>
      <c r="J163" s="24">
        <v>219488</v>
      </c>
      <c r="K163" s="21">
        <v>6</v>
      </c>
      <c r="L163" s="21">
        <v>8</v>
      </c>
      <c r="M163" s="21">
        <v>2</v>
      </c>
      <c r="N163" s="24">
        <v>233624</v>
      </c>
      <c r="O163" s="21">
        <v>6</v>
      </c>
      <c r="P163" t="str">
        <f t="shared" si="4"/>
        <v>Teenagers</v>
      </c>
      <c r="Q163" t="str">
        <f t="shared" si="5"/>
        <v>High</v>
      </c>
      <c r="R163" t="str">
        <f>IF(OR(AND(Table1[[#This Row],[Diagnosis]]="Labour Complication",Table1[[#This Row],[Gender]]="M"), AND(Table1[[#This Row],[Diagnosis]]="Labour Complication",Table1[[#This Row],[Age]]&lt;15)),"Error","OK")</f>
        <v>OK</v>
      </c>
      <c r="S163" s="4">
        <f>Table1[[#This Row],[Bill_Amount]]+Table1[[#This Row],[Surgery_Cost]]</f>
        <v>453112</v>
      </c>
    </row>
    <row r="164" spans="1:19" x14ac:dyDescent="0.35">
      <c r="A164" s="16" t="s">
        <v>187</v>
      </c>
      <c r="B164" s="17" t="s">
        <v>687</v>
      </c>
      <c r="C164" s="18">
        <v>60</v>
      </c>
      <c r="D164" s="17" t="s">
        <v>1058</v>
      </c>
      <c r="E164" s="17" t="s">
        <v>1016</v>
      </c>
      <c r="F164" s="17" t="s">
        <v>1023</v>
      </c>
      <c r="G164" s="17" t="s">
        <v>1030</v>
      </c>
      <c r="H164" s="30">
        <v>45785</v>
      </c>
      <c r="I164" s="30">
        <v>45800</v>
      </c>
      <c r="J164" s="25">
        <v>334475</v>
      </c>
      <c r="K164" s="18">
        <v>9</v>
      </c>
      <c r="L164" s="18">
        <v>6</v>
      </c>
      <c r="M164" s="18">
        <v>1</v>
      </c>
      <c r="N164" s="25">
        <v>0</v>
      </c>
      <c r="O164" s="18">
        <v>15</v>
      </c>
      <c r="P164" t="str">
        <f t="shared" si="4"/>
        <v>Older Adults</v>
      </c>
      <c r="Q164" t="str">
        <f t="shared" si="5"/>
        <v>High</v>
      </c>
      <c r="R164" t="str">
        <f>IF(OR(AND(Table1[[#This Row],[Diagnosis]]="Labour Complication",Table1[[#This Row],[Gender]]="M"), AND(Table1[[#This Row],[Diagnosis]]="Labour Complication",Table1[[#This Row],[Age]]&lt;15)),"Error","OK")</f>
        <v>OK</v>
      </c>
      <c r="S164" s="4">
        <f>Table1[[#This Row],[Bill_Amount]]+Table1[[#This Row],[Surgery_Cost]]</f>
        <v>334475</v>
      </c>
    </row>
    <row r="165" spans="1:19" x14ac:dyDescent="0.35">
      <c r="A165" s="16" t="s">
        <v>189</v>
      </c>
      <c r="B165" s="17" t="s">
        <v>689</v>
      </c>
      <c r="C165" s="18">
        <v>35</v>
      </c>
      <c r="D165" s="17" t="s">
        <v>1057</v>
      </c>
      <c r="E165" s="17" t="s">
        <v>1022</v>
      </c>
      <c r="F165" s="17" t="s">
        <v>1029</v>
      </c>
      <c r="G165" s="17" t="s">
        <v>1041</v>
      </c>
      <c r="H165" s="30">
        <v>45760</v>
      </c>
      <c r="I165" s="30">
        <v>45762</v>
      </c>
      <c r="J165" s="25">
        <v>156723</v>
      </c>
      <c r="K165" s="18">
        <v>1</v>
      </c>
      <c r="L165" s="18">
        <v>19</v>
      </c>
      <c r="M165" s="18">
        <v>2</v>
      </c>
      <c r="N165" s="25">
        <v>0</v>
      </c>
      <c r="O165" s="18">
        <v>2</v>
      </c>
      <c r="P165" t="str">
        <f t="shared" si="4"/>
        <v>Adults</v>
      </c>
      <c r="Q165" t="str">
        <f t="shared" si="5"/>
        <v>High</v>
      </c>
      <c r="R165" t="str">
        <f>IF(OR(AND(Table1[[#This Row],[Diagnosis]]="Labour Complication",Table1[[#This Row],[Gender]]="M"), AND(Table1[[#This Row],[Diagnosis]]="Labour Complication",Table1[[#This Row],[Age]]&lt;15)),"Error","OK")</f>
        <v>OK</v>
      </c>
      <c r="S165" s="4">
        <f>Table1[[#This Row],[Bill_Amount]]+Table1[[#This Row],[Surgery_Cost]]</f>
        <v>156723</v>
      </c>
    </row>
    <row r="166" spans="1:19" x14ac:dyDescent="0.35">
      <c r="A166" s="19" t="s">
        <v>190</v>
      </c>
      <c r="B166" s="20" t="s">
        <v>690</v>
      </c>
      <c r="C166" s="21">
        <v>16</v>
      </c>
      <c r="D166" s="20" t="s">
        <v>1057</v>
      </c>
      <c r="E166" s="20" t="s">
        <v>1020</v>
      </c>
      <c r="F166" s="20" t="s">
        <v>1027</v>
      </c>
      <c r="G166" s="20" t="s">
        <v>1043</v>
      </c>
      <c r="H166" s="29">
        <v>45756</v>
      </c>
      <c r="I166" s="29">
        <v>45769</v>
      </c>
      <c r="J166" s="24">
        <v>304128</v>
      </c>
      <c r="K166" s="21">
        <v>2</v>
      </c>
      <c r="L166" s="21">
        <v>13</v>
      </c>
      <c r="M166" s="21">
        <v>4</v>
      </c>
      <c r="N166" s="24">
        <v>0</v>
      </c>
      <c r="O166" s="21">
        <v>13</v>
      </c>
      <c r="P166" t="str">
        <f t="shared" si="4"/>
        <v>Teenagers</v>
      </c>
      <c r="Q166" t="str">
        <f t="shared" si="5"/>
        <v>High</v>
      </c>
      <c r="R166" t="str">
        <f>IF(OR(AND(Table1[[#This Row],[Diagnosis]]="Labour Complication",Table1[[#This Row],[Gender]]="M"), AND(Table1[[#This Row],[Diagnosis]]="Labour Complication",Table1[[#This Row],[Age]]&lt;15)),"Error","OK")</f>
        <v>OK</v>
      </c>
      <c r="S166" s="4">
        <f>Table1[[#This Row],[Bill_Amount]]+Table1[[#This Row],[Surgery_Cost]]</f>
        <v>304128</v>
      </c>
    </row>
    <row r="167" spans="1:19" x14ac:dyDescent="0.35">
      <c r="A167" s="16" t="s">
        <v>191</v>
      </c>
      <c r="B167" s="17" t="s">
        <v>691</v>
      </c>
      <c r="C167" s="18">
        <v>71</v>
      </c>
      <c r="D167" s="17" t="s">
        <v>1057</v>
      </c>
      <c r="E167" s="17" t="s">
        <v>1016</v>
      </c>
      <c r="F167" s="17" t="s">
        <v>1023</v>
      </c>
      <c r="G167" s="17" t="s">
        <v>1040</v>
      </c>
      <c r="H167" s="30">
        <v>45775</v>
      </c>
      <c r="I167" s="30">
        <v>45779</v>
      </c>
      <c r="J167" s="25">
        <v>212922</v>
      </c>
      <c r="K167" s="18">
        <v>2</v>
      </c>
      <c r="L167" s="18">
        <v>10</v>
      </c>
      <c r="M167" s="18">
        <v>2</v>
      </c>
      <c r="N167" s="25">
        <v>0</v>
      </c>
      <c r="O167" s="18">
        <v>4</v>
      </c>
      <c r="P167" t="str">
        <f t="shared" si="4"/>
        <v>Older Adults</v>
      </c>
      <c r="Q167" t="str">
        <f t="shared" si="5"/>
        <v>High</v>
      </c>
      <c r="R167" t="str">
        <f>IF(OR(AND(Table1[[#This Row],[Diagnosis]]="Labour Complication",Table1[[#This Row],[Gender]]="M"), AND(Table1[[#This Row],[Diagnosis]]="Labour Complication",Table1[[#This Row],[Age]]&lt;15)),"Error","OK")</f>
        <v>OK</v>
      </c>
      <c r="S167" s="4">
        <f>Table1[[#This Row],[Bill_Amount]]+Table1[[#This Row],[Surgery_Cost]]</f>
        <v>212922</v>
      </c>
    </row>
    <row r="168" spans="1:19" x14ac:dyDescent="0.35">
      <c r="A168" s="19" t="s">
        <v>192</v>
      </c>
      <c r="B168" s="20" t="s">
        <v>692</v>
      </c>
      <c r="C168" s="21">
        <v>15</v>
      </c>
      <c r="D168" s="20" t="s">
        <v>1058</v>
      </c>
      <c r="E168" s="20" t="s">
        <v>1018</v>
      </c>
      <c r="F168" s="20" t="s">
        <v>1025</v>
      </c>
      <c r="G168" s="20" t="s">
        <v>1044</v>
      </c>
      <c r="H168" s="29">
        <v>45759</v>
      </c>
      <c r="I168" s="29">
        <v>45764</v>
      </c>
      <c r="J168" s="24">
        <v>491138</v>
      </c>
      <c r="K168" s="21">
        <v>5</v>
      </c>
      <c r="L168" s="21">
        <v>3</v>
      </c>
      <c r="M168" s="21">
        <v>4</v>
      </c>
      <c r="N168" s="24">
        <v>0</v>
      </c>
      <c r="O168" s="21">
        <v>5</v>
      </c>
      <c r="P168" t="str">
        <f t="shared" si="4"/>
        <v>Teenagers</v>
      </c>
      <c r="Q168" t="str">
        <f t="shared" si="5"/>
        <v>High</v>
      </c>
      <c r="R168" t="str">
        <f>IF(OR(AND(Table1[[#This Row],[Diagnosis]]="Labour Complication",Table1[[#This Row],[Gender]]="M"), AND(Table1[[#This Row],[Diagnosis]]="Labour Complication",Table1[[#This Row],[Age]]&lt;15)),"Error","OK")</f>
        <v>OK</v>
      </c>
      <c r="S168" s="4">
        <f>Table1[[#This Row],[Bill_Amount]]+Table1[[#This Row],[Surgery_Cost]]</f>
        <v>491138</v>
      </c>
    </row>
    <row r="169" spans="1:19" x14ac:dyDescent="0.35">
      <c r="A169" s="16" t="s">
        <v>193</v>
      </c>
      <c r="B169" s="17" t="s">
        <v>693</v>
      </c>
      <c r="C169" s="18">
        <v>64</v>
      </c>
      <c r="D169" s="17" t="s">
        <v>1058</v>
      </c>
      <c r="E169" s="17" t="s">
        <v>1016</v>
      </c>
      <c r="F169" s="17" t="s">
        <v>1023</v>
      </c>
      <c r="G169" s="17" t="s">
        <v>1040</v>
      </c>
      <c r="H169" s="30">
        <v>45766</v>
      </c>
      <c r="I169" s="30">
        <v>45781</v>
      </c>
      <c r="J169" s="25">
        <v>130725</v>
      </c>
      <c r="K169" s="18">
        <v>9</v>
      </c>
      <c r="L169" s="18">
        <v>1</v>
      </c>
      <c r="M169" s="18">
        <v>4</v>
      </c>
      <c r="N169" s="25">
        <v>0</v>
      </c>
      <c r="O169" s="18">
        <v>15</v>
      </c>
      <c r="P169" t="str">
        <f t="shared" si="4"/>
        <v>Older Adults</v>
      </c>
      <c r="Q169" t="str">
        <f t="shared" si="5"/>
        <v>Medium</v>
      </c>
      <c r="R169" t="str">
        <f>IF(OR(AND(Table1[[#This Row],[Diagnosis]]="Labour Complication",Table1[[#This Row],[Gender]]="M"), AND(Table1[[#This Row],[Diagnosis]]="Labour Complication",Table1[[#This Row],[Age]]&lt;15)),"Error","OK")</f>
        <v>OK</v>
      </c>
      <c r="S169" s="4">
        <f>Table1[[#This Row],[Bill_Amount]]+Table1[[#This Row],[Surgery_Cost]]</f>
        <v>130725</v>
      </c>
    </row>
    <row r="170" spans="1:19" x14ac:dyDescent="0.35">
      <c r="A170" s="19" t="s">
        <v>194</v>
      </c>
      <c r="B170" s="20" t="s">
        <v>694</v>
      </c>
      <c r="C170" s="21">
        <v>61</v>
      </c>
      <c r="D170" s="20" t="s">
        <v>1057</v>
      </c>
      <c r="E170" s="20" t="s">
        <v>1020</v>
      </c>
      <c r="F170" s="20" t="s">
        <v>1027</v>
      </c>
      <c r="G170" s="20" t="s">
        <v>1034</v>
      </c>
      <c r="H170" s="29">
        <v>45779</v>
      </c>
      <c r="I170" s="29">
        <v>45794</v>
      </c>
      <c r="J170" s="24">
        <v>302968</v>
      </c>
      <c r="K170" s="21">
        <v>6</v>
      </c>
      <c r="L170" s="21">
        <v>1</v>
      </c>
      <c r="M170" s="21">
        <v>3</v>
      </c>
      <c r="N170" s="24">
        <v>0</v>
      </c>
      <c r="O170" s="21">
        <v>15</v>
      </c>
      <c r="P170" t="str">
        <f t="shared" si="4"/>
        <v>Older Adults</v>
      </c>
      <c r="Q170" t="str">
        <f t="shared" si="5"/>
        <v>High</v>
      </c>
      <c r="R170" t="str">
        <f>IF(OR(AND(Table1[[#This Row],[Diagnosis]]="Labour Complication",Table1[[#This Row],[Gender]]="M"), AND(Table1[[#This Row],[Diagnosis]]="Labour Complication",Table1[[#This Row],[Age]]&lt;15)),"Error","OK")</f>
        <v>OK</v>
      </c>
      <c r="S170" s="4">
        <f>Table1[[#This Row],[Bill_Amount]]+Table1[[#This Row],[Surgery_Cost]]</f>
        <v>302968</v>
      </c>
    </row>
    <row r="171" spans="1:19" x14ac:dyDescent="0.35">
      <c r="A171" s="16" t="s">
        <v>195</v>
      </c>
      <c r="B171" s="17" t="s">
        <v>695</v>
      </c>
      <c r="C171" s="18">
        <v>25</v>
      </c>
      <c r="D171" s="17" t="s">
        <v>1057</v>
      </c>
      <c r="E171" s="17" t="s">
        <v>1019</v>
      </c>
      <c r="F171" s="17" t="s">
        <v>1026</v>
      </c>
      <c r="G171" s="17" t="s">
        <v>1033</v>
      </c>
      <c r="H171" s="30">
        <v>45766</v>
      </c>
      <c r="I171" s="30">
        <v>45770</v>
      </c>
      <c r="J171" s="25">
        <v>251109</v>
      </c>
      <c r="K171" s="18">
        <v>4</v>
      </c>
      <c r="L171" s="18">
        <v>10</v>
      </c>
      <c r="M171" s="18">
        <v>1</v>
      </c>
      <c r="N171" s="25">
        <v>0</v>
      </c>
      <c r="O171" s="18">
        <v>4</v>
      </c>
      <c r="P171" t="str">
        <f t="shared" si="4"/>
        <v>Adults</v>
      </c>
      <c r="Q171" t="str">
        <f t="shared" si="5"/>
        <v>High</v>
      </c>
      <c r="R171" t="str">
        <f>IF(OR(AND(Table1[[#This Row],[Diagnosis]]="Labour Complication",Table1[[#This Row],[Gender]]="M"), AND(Table1[[#This Row],[Diagnosis]]="Labour Complication",Table1[[#This Row],[Age]]&lt;15)),"Error","OK")</f>
        <v>OK</v>
      </c>
      <c r="S171" s="4">
        <f>Table1[[#This Row],[Bill_Amount]]+Table1[[#This Row],[Surgery_Cost]]</f>
        <v>251109</v>
      </c>
    </row>
    <row r="172" spans="1:19" x14ac:dyDescent="0.35">
      <c r="A172" s="19" t="s">
        <v>196</v>
      </c>
      <c r="B172" s="20" t="s">
        <v>696</v>
      </c>
      <c r="C172" s="21">
        <v>54</v>
      </c>
      <c r="D172" s="20" t="s">
        <v>1058</v>
      </c>
      <c r="E172" s="20" t="s">
        <v>1021</v>
      </c>
      <c r="F172" s="20" t="s">
        <v>1028</v>
      </c>
      <c r="G172" s="20" t="s">
        <v>1036</v>
      </c>
      <c r="H172" s="29">
        <v>45777</v>
      </c>
      <c r="I172" s="29">
        <v>45791</v>
      </c>
      <c r="J172" s="24">
        <v>464190</v>
      </c>
      <c r="K172" s="21">
        <v>6</v>
      </c>
      <c r="L172" s="21">
        <v>1</v>
      </c>
      <c r="M172" s="21">
        <v>2</v>
      </c>
      <c r="N172" s="24">
        <v>165760</v>
      </c>
      <c r="O172" s="21">
        <v>14</v>
      </c>
      <c r="P172" t="str">
        <f t="shared" si="4"/>
        <v>Adults</v>
      </c>
      <c r="Q172" t="str">
        <f t="shared" si="5"/>
        <v>High</v>
      </c>
      <c r="R172" t="str">
        <f>IF(OR(AND(Table1[[#This Row],[Diagnosis]]="Labour Complication",Table1[[#This Row],[Gender]]="M"), AND(Table1[[#This Row],[Diagnosis]]="Labour Complication",Table1[[#This Row],[Age]]&lt;15)),"Error","OK")</f>
        <v>OK</v>
      </c>
      <c r="S172" s="4">
        <f>Table1[[#This Row],[Bill_Amount]]+Table1[[#This Row],[Surgery_Cost]]</f>
        <v>629950</v>
      </c>
    </row>
    <row r="173" spans="1:19" x14ac:dyDescent="0.35">
      <c r="A173" s="16" t="s">
        <v>197</v>
      </c>
      <c r="B173" s="17" t="s">
        <v>697</v>
      </c>
      <c r="C173" s="18">
        <v>39</v>
      </c>
      <c r="D173" s="17" t="s">
        <v>1058</v>
      </c>
      <c r="E173" s="17" t="s">
        <v>1022</v>
      </c>
      <c r="F173" s="17" t="s">
        <v>1029</v>
      </c>
      <c r="G173" s="17" t="s">
        <v>1039</v>
      </c>
      <c r="H173" s="30">
        <v>45771</v>
      </c>
      <c r="I173" s="30">
        <v>45773</v>
      </c>
      <c r="J173" s="25">
        <v>198289</v>
      </c>
      <c r="K173" s="18">
        <v>3</v>
      </c>
      <c r="L173" s="18">
        <v>9</v>
      </c>
      <c r="M173" s="18">
        <v>1</v>
      </c>
      <c r="N173" s="25">
        <v>0</v>
      </c>
      <c r="O173" s="18">
        <v>2</v>
      </c>
      <c r="P173" t="str">
        <f t="shared" si="4"/>
        <v>Adults</v>
      </c>
      <c r="Q173" t="str">
        <f t="shared" si="5"/>
        <v>High</v>
      </c>
      <c r="R173" t="str">
        <f>IF(OR(AND(Table1[[#This Row],[Diagnosis]]="Labour Complication",Table1[[#This Row],[Gender]]="M"), AND(Table1[[#This Row],[Diagnosis]]="Labour Complication",Table1[[#This Row],[Age]]&lt;15)),"Error","OK")</f>
        <v>OK</v>
      </c>
      <c r="S173" s="4">
        <f>Table1[[#This Row],[Bill_Amount]]+Table1[[#This Row],[Surgery_Cost]]</f>
        <v>198289</v>
      </c>
    </row>
    <row r="174" spans="1:19" x14ac:dyDescent="0.35">
      <c r="A174" s="19" t="s">
        <v>198</v>
      </c>
      <c r="B174" s="20" t="s">
        <v>698</v>
      </c>
      <c r="C174" s="21">
        <v>45</v>
      </c>
      <c r="D174" s="20" t="s">
        <v>1058</v>
      </c>
      <c r="E174" s="20" t="s">
        <v>1020</v>
      </c>
      <c r="F174" s="20" t="s">
        <v>1027</v>
      </c>
      <c r="G174" s="20" t="s">
        <v>1034</v>
      </c>
      <c r="H174" s="29">
        <v>45750</v>
      </c>
      <c r="I174" s="29">
        <v>45760</v>
      </c>
      <c r="J174" s="24">
        <v>303934</v>
      </c>
      <c r="K174" s="21">
        <v>8</v>
      </c>
      <c r="L174" s="21">
        <v>17</v>
      </c>
      <c r="M174" s="21">
        <v>3</v>
      </c>
      <c r="N174" s="24">
        <v>0</v>
      </c>
      <c r="O174" s="21">
        <v>10</v>
      </c>
      <c r="P174" t="str">
        <f t="shared" si="4"/>
        <v>Adults</v>
      </c>
      <c r="Q174" t="str">
        <f t="shared" si="5"/>
        <v>High</v>
      </c>
      <c r="R174" t="str">
        <f>IF(OR(AND(Table1[[#This Row],[Diagnosis]]="Labour Complication",Table1[[#This Row],[Gender]]="M"), AND(Table1[[#This Row],[Diagnosis]]="Labour Complication",Table1[[#This Row],[Age]]&lt;15)),"Error","OK")</f>
        <v>OK</v>
      </c>
      <c r="S174" s="4">
        <f>Table1[[#This Row],[Bill_Amount]]+Table1[[#This Row],[Surgery_Cost]]</f>
        <v>303934</v>
      </c>
    </row>
    <row r="175" spans="1:19" x14ac:dyDescent="0.35">
      <c r="A175" s="16" t="s">
        <v>199</v>
      </c>
      <c r="B175" s="17" t="s">
        <v>699</v>
      </c>
      <c r="C175" s="18">
        <v>90</v>
      </c>
      <c r="D175" s="17" t="s">
        <v>1057</v>
      </c>
      <c r="E175" s="17" t="s">
        <v>1020</v>
      </c>
      <c r="F175" s="17" t="s">
        <v>1027</v>
      </c>
      <c r="G175" s="17" t="s">
        <v>1034</v>
      </c>
      <c r="H175" s="30">
        <v>45764</v>
      </c>
      <c r="I175" s="30">
        <v>45771</v>
      </c>
      <c r="J175" s="25">
        <v>148908</v>
      </c>
      <c r="K175" s="18">
        <v>4</v>
      </c>
      <c r="L175" s="18">
        <v>15</v>
      </c>
      <c r="M175" s="18">
        <v>1</v>
      </c>
      <c r="N175" s="25">
        <v>0</v>
      </c>
      <c r="O175" s="18">
        <v>7</v>
      </c>
      <c r="P175" t="str">
        <f t="shared" si="4"/>
        <v>Older Adults</v>
      </c>
      <c r="Q175" t="str">
        <f t="shared" si="5"/>
        <v>Medium</v>
      </c>
      <c r="R175" t="str">
        <f>IF(OR(AND(Table1[[#This Row],[Diagnosis]]="Labour Complication",Table1[[#This Row],[Gender]]="M"), AND(Table1[[#This Row],[Diagnosis]]="Labour Complication",Table1[[#This Row],[Age]]&lt;15)),"Error","OK")</f>
        <v>OK</v>
      </c>
      <c r="S175" s="4">
        <f>Table1[[#This Row],[Bill_Amount]]+Table1[[#This Row],[Surgery_Cost]]</f>
        <v>148908</v>
      </c>
    </row>
    <row r="176" spans="1:19" x14ac:dyDescent="0.35">
      <c r="A176" s="16" t="s">
        <v>201</v>
      </c>
      <c r="B176" s="17" t="s">
        <v>701</v>
      </c>
      <c r="C176" s="18">
        <v>49</v>
      </c>
      <c r="D176" s="17" t="s">
        <v>1058</v>
      </c>
      <c r="E176" s="17" t="s">
        <v>1016</v>
      </c>
      <c r="F176" s="17" t="s">
        <v>1023</v>
      </c>
      <c r="G176" s="17" t="s">
        <v>1030</v>
      </c>
      <c r="H176" s="30">
        <v>45745</v>
      </c>
      <c r="I176" s="30">
        <v>45754</v>
      </c>
      <c r="J176" s="25">
        <v>419742</v>
      </c>
      <c r="K176" s="18">
        <v>9</v>
      </c>
      <c r="L176" s="18">
        <v>9</v>
      </c>
      <c r="M176" s="18">
        <v>2</v>
      </c>
      <c r="N176" s="25">
        <v>0</v>
      </c>
      <c r="O176" s="18">
        <v>9</v>
      </c>
      <c r="P176" t="str">
        <f t="shared" si="4"/>
        <v>Adults</v>
      </c>
      <c r="Q176" t="str">
        <f t="shared" si="5"/>
        <v>High</v>
      </c>
      <c r="R176" t="str">
        <f>IF(OR(AND(Table1[[#This Row],[Diagnosis]]="Labour Complication",Table1[[#This Row],[Gender]]="M"), AND(Table1[[#This Row],[Diagnosis]]="Labour Complication",Table1[[#This Row],[Age]]&lt;15)),"Error","OK")</f>
        <v>OK</v>
      </c>
      <c r="S176" s="4">
        <f>Table1[[#This Row],[Bill_Amount]]+Table1[[#This Row],[Surgery_Cost]]</f>
        <v>419742</v>
      </c>
    </row>
    <row r="177" spans="1:19" x14ac:dyDescent="0.35">
      <c r="A177" s="19" t="s">
        <v>202</v>
      </c>
      <c r="B177" s="20" t="s">
        <v>702</v>
      </c>
      <c r="C177" s="21">
        <v>65</v>
      </c>
      <c r="D177" s="20" t="s">
        <v>1058</v>
      </c>
      <c r="E177" s="20" t="s">
        <v>1020</v>
      </c>
      <c r="F177" s="20" t="s">
        <v>1027</v>
      </c>
      <c r="G177" s="20" t="s">
        <v>1043</v>
      </c>
      <c r="H177" s="29">
        <v>45763</v>
      </c>
      <c r="I177" s="29">
        <v>45765</v>
      </c>
      <c r="J177" s="24">
        <v>116189</v>
      </c>
      <c r="K177" s="21">
        <v>4</v>
      </c>
      <c r="L177" s="21">
        <v>13</v>
      </c>
      <c r="M177" s="21">
        <v>2</v>
      </c>
      <c r="N177" s="24">
        <v>0</v>
      </c>
      <c r="O177" s="21">
        <v>2</v>
      </c>
      <c r="P177" t="str">
        <f t="shared" si="4"/>
        <v>Older Adults</v>
      </c>
      <c r="Q177" t="str">
        <f t="shared" si="5"/>
        <v>Medium</v>
      </c>
      <c r="R177" t="str">
        <f>IF(OR(AND(Table1[[#This Row],[Diagnosis]]="Labour Complication",Table1[[#This Row],[Gender]]="M"), AND(Table1[[#This Row],[Diagnosis]]="Labour Complication",Table1[[#This Row],[Age]]&lt;15)),"Error","OK")</f>
        <v>OK</v>
      </c>
      <c r="S177" s="4">
        <f>Table1[[#This Row],[Bill_Amount]]+Table1[[#This Row],[Surgery_Cost]]</f>
        <v>116189</v>
      </c>
    </row>
    <row r="178" spans="1:19" x14ac:dyDescent="0.35">
      <c r="A178" s="16" t="s">
        <v>203</v>
      </c>
      <c r="B178" s="17" t="s">
        <v>703</v>
      </c>
      <c r="C178" s="18">
        <v>13</v>
      </c>
      <c r="D178" s="17" t="s">
        <v>1058</v>
      </c>
      <c r="E178" s="17" t="s">
        <v>1022</v>
      </c>
      <c r="F178" s="17" t="s">
        <v>1029</v>
      </c>
      <c r="G178" s="17" t="s">
        <v>1039</v>
      </c>
      <c r="H178" s="30">
        <v>45750</v>
      </c>
      <c r="I178" s="30">
        <v>45765</v>
      </c>
      <c r="J178" s="25">
        <v>280847</v>
      </c>
      <c r="K178" s="18">
        <v>2</v>
      </c>
      <c r="L178" s="18">
        <v>11</v>
      </c>
      <c r="M178" s="18">
        <v>2</v>
      </c>
      <c r="N178" s="25">
        <v>0</v>
      </c>
      <c r="O178" s="18">
        <v>15</v>
      </c>
      <c r="P178" t="str">
        <f t="shared" si="4"/>
        <v>Teenagers</v>
      </c>
      <c r="Q178" t="str">
        <f t="shared" si="5"/>
        <v>High</v>
      </c>
      <c r="R178" t="str">
        <f>IF(OR(AND(Table1[[#This Row],[Diagnosis]]="Labour Complication",Table1[[#This Row],[Gender]]="M"), AND(Table1[[#This Row],[Diagnosis]]="Labour Complication",Table1[[#This Row],[Age]]&lt;15)),"Error","OK")</f>
        <v>OK</v>
      </c>
      <c r="S178" s="4">
        <f>Table1[[#This Row],[Bill_Amount]]+Table1[[#This Row],[Surgery_Cost]]</f>
        <v>280847</v>
      </c>
    </row>
    <row r="179" spans="1:19" x14ac:dyDescent="0.35">
      <c r="A179" s="19" t="s">
        <v>204</v>
      </c>
      <c r="B179" s="20" t="s">
        <v>704</v>
      </c>
      <c r="C179" s="21">
        <v>84</v>
      </c>
      <c r="D179" s="20" t="s">
        <v>1057</v>
      </c>
      <c r="E179" s="20" t="s">
        <v>1016</v>
      </c>
      <c r="F179" s="20" t="s">
        <v>1023</v>
      </c>
      <c r="G179" s="20" t="s">
        <v>1030</v>
      </c>
      <c r="H179" s="29">
        <v>45793</v>
      </c>
      <c r="I179" s="29">
        <v>45797</v>
      </c>
      <c r="J179" s="24">
        <v>264946</v>
      </c>
      <c r="K179" s="21">
        <v>2</v>
      </c>
      <c r="L179" s="21">
        <v>7</v>
      </c>
      <c r="M179" s="21">
        <v>3</v>
      </c>
      <c r="N179" s="24">
        <v>0</v>
      </c>
      <c r="O179" s="21">
        <v>4</v>
      </c>
      <c r="P179" t="str">
        <f t="shared" si="4"/>
        <v>Older Adults</v>
      </c>
      <c r="Q179" t="str">
        <f t="shared" si="5"/>
        <v>High</v>
      </c>
      <c r="R179" t="str">
        <f>IF(OR(AND(Table1[[#This Row],[Diagnosis]]="Labour Complication",Table1[[#This Row],[Gender]]="M"), AND(Table1[[#This Row],[Diagnosis]]="Labour Complication",Table1[[#This Row],[Age]]&lt;15)),"Error","OK")</f>
        <v>OK</v>
      </c>
      <c r="S179" s="4">
        <f>Table1[[#This Row],[Bill_Amount]]+Table1[[#This Row],[Surgery_Cost]]</f>
        <v>264946</v>
      </c>
    </row>
    <row r="180" spans="1:19" x14ac:dyDescent="0.35">
      <c r="A180" s="16" t="s">
        <v>205</v>
      </c>
      <c r="B180" s="17" t="s">
        <v>705</v>
      </c>
      <c r="C180" s="18">
        <v>44</v>
      </c>
      <c r="D180" s="17" t="s">
        <v>1058</v>
      </c>
      <c r="E180" s="17" t="s">
        <v>1020</v>
      </c>
      <c r="F180" s="17" t="s">
        <v>1027</v>
      </c>
      <c r="G180" s="17" t="s">
        <v>1043</v>
      </c>
      <c r="H180" s="30">
        <v>45786</v>
      </c>
      <c r="I180" s="30">
        <v>45800</v>
      </c>
      <c r="J180" s="25">
        <v>188948</v>
      </c>
      <c r="K180" s="18">
        <v>6</v>
      </c>
      <c r="L180" s="18">
        <v>11</v>
      </c>
      <c r="M180" s="18">
        <v>1</v>
      </c>
      <c r="N180" s="25">
        <v>0</v>
      </c>
      <c r="O180" s="18">
        <v>14</v>
      </c>
      <c r="P180" t="str">
        <f t="shared" si="4"/>
        <v>Adults</v>
      </c>
      <c r="Q180" t="str">
        <f t="shared" si="5"/>
        <v>High</v>
      </c>
      <c r="R180" t="str">
        <f>IF(OR(AND(Table1[[#This Row],[Diagnosis]]="Labour Complication",Table1[[#This Row],[Gender]]="M"), AND(Table1[[#This Row],[Diagnosis]]="Labour Complication",Table1[[#This Row],[Age]]&lt;15)),"Error","OK")</f>
        <v>OK</v>
      </c>
      <c r="S180" s="4">
        <f>Table1[[#This Row],[Bill_Amount]]+Table1[[#This Row],[Surgery_Cost]]</f>
        <v>188948</v>
      </c>
    </row>
    <row r="181" spans="1:19" x14ac:dyDescent="0.35">
      <c r="A181" s="19" t="s">
        <v>206</v>
      </c>
      <c r="B181" s="20" t="s">
        <v>706</v>
      </c>
      <c r="C181" s="21">
        <v>87</v>
      </c>
      <c r="D181" s="20" t="s">
        <v>1058</v>
      </c>
      <c r="E181" s="20" t="s">
        <v>1022</v>
      </c>
      <c r="F181" s="20" t="s">
        <v>1029</v>
      </c>
      <c r="G181" s="20" t="s">
        <v>1041</v>
      </c>
      <c r="H181" s="29">
        <v>45784</v>
      </c>
      <c r="I181" s="29">
        <v>45791</v>
      </c>
      <c r="J181" s="24">
        <v>496872</v>
      </c>
      <c r="K181" s="21">
        <v>9</v>
      </c>
      <c r="L181" s="21">
        <v>13</v>
      </c>
      <c r="M181" s="21">
        <v>4</v>
      </c>
      <c r="N181" s="24">
        <v>0</v>
      </c>
      <c r="O181" s="21">
        <v>7</v>
      </c>
      <c r="P181" t="str">
        <f t="shared" si="4"/>
        <v>Older Adults</v>
      </c>
      <c r="Q181" t="str">
        <f t="shared" si="5"/>
        <v>High</v>
      </c>
      <c r="R181" t="str">
        <f>IF(OR(AND(Table1[[#This Row],[Diagnosis]]="Labour Complication",Table1[[#This Row],[Gender]]="M"), AND(Table1[[#This Row],[Diagnosis]]="Labour Complication",Table1[[#This Row],[Age]]&lt;15)),"Error","OK")</f>
        <v>OK</v>
      </c>
      <c r="S181" s="4">
        <f>Table1[[#This Row],[Bill_Amount]]+Table1[[#This Row],[Surgery_Cost]]</f>
        <v>496872</v>
      </c>
    </row>
    <row r="182" spans="1:19" x14ac:dyDescent="0.35">
      <c r="A182" s="16" t="s">
        <v>207</v>
      </c>
      <c r="B182" s="17" t="s">
        <v>707</v>
      </c>
      <c r="C182" s="18">
        <v>63</v>
      </c>
      <c r="D182" s="17" t="s">
        <v>1057</v>
      </c>
      <c r="E182" s="17" t="s">
        <v>1016</v>
      </c>
      <c r="F182" s="17" t="s">
        <v>1023</v>
      </c>
      <c r="G182" s="17" t="s">
        <v>1030</v>
      </c>
      <c r="H182" s="30">
        <v>45796</v>
      </c>
      <c r="I182" s="30">
        <v>45809</v>
      </c>
      <c r="J182" s="25">
        <v>448145</v>
      </c>
      <c r="K182" s="18">
        <v>1</v>
      </c>
      <c r="L182" s="18">
        <v>5</v>
      </c>
      <c r="M182" s="18">
        <v>2</v>
      </c>
      <c r="N182" s="25">
        <v>0</v>
      </c>
      <c r="O182" s="18">
        <v>13</v>
      </c>
      <c r="P182" t="str">
        <f t="shared" si="4"/>
        <v>Older Adults</v>
      </c>
      <c r="Q182" t="str">
        <f t="shared" si="5"/>
        <v>High</v>
      </c>
      <c r="R182" t="str">
        <f>IF(OR(AND(Table1[[#This Row],[Diagnosis]]="Labour Complication",Table1[[#This Row],[Gender]]="M"), AND(Table1[[#This Row],[Diagnosis]]="Labour Complication",Table1[[#This Row],[Age]]&lt;15)),"Error","OK")</f>
        <v>OK</v>
      </c>
      <c r="S182" s="4">
        <f>Table1[[#This Row],[Bill_Amount]]+Table1[[#This Row],[Surgery_Cost]]</f>
        <v>448145</v>
      </c>
    </row>
    <row r="183" spans="1:19" x14ac:dyDescent="0.35">
      <c r="A183" s="19" t="s">
        <v>208</v>
      </c>
      <c r="B183" s="20" t="s">
        <v>708</v>
      </c>
      <c r="C183" s="21">
        <v>37</v>
      </c>
      <c r="D183" s="20" t="s">
        <v>1057</v>
      </c>
      <c r="E183" s="20" t="s">
        <v>1017</v>
      </c>
      <c r="F183" s="20" t="s">
        <v>1024</v>
      </c>
      <c r="G183" s="20" t="s">
        <v>1042</v>
      </c>
      <c r="H183" s="29">
        <v>45792</v>
      </c>
      <c r="I183" s="29">
        <v>45804</v>
      </c>
      <c r="J183" s="24">
        <v>408822</v>
      </c>
      <c r="K183" s="21">
        <v>3</v>
      </c>
      <c r="L183" s="21">
        <v>17</v>
      </c>
      <c r="M183" s="21">
        <v>3</v>
      </c>
      <c r="N183" s="24">
        <v>0</v>
      </c>
      <c r="O183" s="21">
        <v>12</v>
      </c>
      <c r="P183" t="str">
        <f t="shared" si="4"/>
        <v>Adults</v>
      </c>
      <c r="Q183" t="str">
        <f t="shared" si="5"/>
        <v>High</v>
      </c>
      <c r="R183" t="str">
        <f>IF(OR(AND(Table1[[#This Row],[Diagnosis]]="Labour Complication",Table1[[#This Row],[Gender]]="M"), AND(Table1[[#This Row],[Diagnosis]]="Labour Complication",Table1[[#This Row],[Age]]&lt;15)),"Error","OK")</f>
        <v>OK</v>
      </c>
      <c r="S183" s="4">
        <f>Table1[[#This Row],[Bill_Amount]]+Table1[[#This Row],[Surgery_Cost]]</f>
        <v>408822</v>
      </c>
    </row>
    <row r="184" spans="1:19" x14ac:dyDescent="0.35">
      <c r="A184" s="16" t="s">
        <v>209</v>
      </c>
      <c r="B184" s="17" t="s">
        <v>709</v>
      </c>
      <c r="C184" s="18">
        <v>82</v>
      </c>
      <c r="D184" s="17" t="s">
        <v>1057</v>
      </c>
      <c r="E184" s="17" t="s">
        <v>1020</v>
      </c>
      <c r="F184" s="17" t="s">
        <v>1027</v>
      </c>
      <c r="G184" s="17" t="s">
        <v>1034</v>
      </c>
      <c r="H184" s="30">
        <v>45754</v>
      </c>
      <c r="I184" s="30">
        <v>45757</v>
      </c>
      <c r="J184" s="25">
        <v>448652</v>
      </c>
      <c r="K184" s="18">
        <v>4</v>
      </c>
      <c r="L184" s="18">
        <v>1</v>
      </c>
      <c r="M184" s="18">
        <v>1</v>
      </c>
      <c r="N184" s="25">
        <v>0</v>
      </c>
      <c r="O184" s="18">
        <v>3</v>
      </c>
      <c r="P184" t="str">
        <f t="shared" si="4"/>
        <v>Older Adults</v>
      </c>
      <c r="Q184" t="str">
        <f t="shared" si="5"/>
        <v>High</v>
      </c>
      <c r="R184" t="str">
        <f>IF(OR(AND(Table1[[#This Row],[Diagnosis]]="Labour Complication",Table1[[#This Row],[Gender]]="M"), AND(Table1[[#This Row],[Diagnosis]]="Labour Complication",Table1[[#This Row],[Age]]&lt;15)),"Error","OK")</f>
        <v>OK</v>
      </c>
      <c r="S184" s="4">
        <f>Table1[[#This Row],[Bill_Amount]]+Table1[[#This Row],[Surgery_Cost]]</f>
        <v>448652</v>
      </c>
    </row>
    <row r="185" spans="1:19" x14ac:dyDescent="0.35">
      <c r="A185" s="16" t="s">
        <v>211</v>
      </c>
      <c r="B185" s="17" t="s">
        <v>711</v>
      </c>
      <c r="C185" s="18">
        <v>46</v>
      </c>
      <c r="D185" s="17" t="s">
        <v>1058</v>
      </c>
      <c r="E185" s="17" t="s">
        <v>1022</v>
      </c>
      <c r="F185" s="17" t="s">
        <v>1029</v>
      </c>
      <c r="G185" s="17" t="s">
        <v>1041</v>
      </c>
      <c r="H185" s="30">
        <v>45782</v>
      </c>
      <c r="I185" s="30">
        <v>45784</v>
      </c>
      <c r="J185" s="25">
        <v>203809</v>
      </c>
      <c r="K185" s="18">
        <v>9</v>
      </c>
      <c r="L185" s="18">
        <v>7</v>
      </c>
      <c r="M185" s="18">
        <v>1</v>
      </c>
      <c r="N185" s="25">
        <v>0</v>
      </c>
      <c r="O185" s="18">
        <v>2</v>
      </c>
      <c r="P185" t="str">
        <f t="shared" si="4"/>
        <v>Adults</v>
      </c>
      <c r="Q185" t="str">
        <f t="shared" si="5"/>
        <v>High</v>
      </c>
      <c r="R185" t="str">
        <f>IF(OR(AND(Table1[[#This Row],[Diagnosis]]="Labour Complication",Table1[[#This Row],[Gender]]="M"), AND(Table1[[#This Row],[Diagnosis]]="Labour Complication",Table1[[#This Row],[Age]]&lt;15)),"Error","OK")</f>
        <v>OK</v>
      </c>
      <c r="S185" s="4">
        <f>Table1[[#This Row],[Bill_Amount]]+Table1[[#This Row],[Surgery_Cost]]</f>
        <v>203809</v>
      </c>
    </row>
    <row r="186" spans="1:19" x14ac:dyDescent="0.35">
      <c r="A186" s="19" t="s">
        <v>212</v>
      </c>
      <c r="B186" s="20" t="s">
        <v>712</v>
      </c>
      <c r="C186" s="21">
        <v>53</v>
      </c>
      <c r="D186" s="20" t="s">
        <v>1057</v>
      </c>
      <c r="E186" s="20" t="s">
        <v>1017</v>
      </c>
      <c r="F186" s="20" t="s">
        <v>1024</v>
      </c>
      <c r="G186" s="20" t="s">
        <v>1042</v>
      </c>
      <c r="H186" s="29">
        <v>45761</v>
      </c>
      <c r="I186" s="29">
        <v>45766</v>
      </c>
      <c r="J186" s="24">
        <v>328484</v>
      </c>
      <c r="K186" s="21">
        <v>8</v>
      </c>
      <c r="L186" s="21">
        <v>3</v>
      </c>
      <c r="M186" s="21">
        <v>2</v>
      </c>
      <c r="N186" s="24">
        <v>0</v>
      </c>
      <c r="O186" s="21">
        <v>5</v>
      </c>
      <c r="P186" t="str">
        <f t="shared" si="4"/>
        <v>Adults</v>
      </c>
      <c r="Q186" t="str">
        <f t="shared" si="5"/>
        <v>High</v>
      </c>
      <c r="R186" t="str">
        <f>IF(OR(AND(Table1[[#This Row],[Diagnosis]]="Labour Complication",Table1[[#This Row],[Gender]]="M"), AND(Table1[[#This Row],[Diagnosis]]="Labour Complication",Table1[[#This Row],[Age]]&lt;15)),"Error","OK")</f>
        <v>OK</v>
      </c>
      <c r="S186" s="4">
        <f>Table1[[#This Row],[Bill_Amount]]+Table1[[#This Row],[Surgery_Cost]]</f>
        <v>328484</v>
      </c>
    </row>
    <row r="187" spans="1:19" x14ac:dyDescent="0.35">
      <c r="A187" s="19" t="s">
        <v>214</v>
      </c>
      <c r="B187" s="20" t="s">
        <v>714</v>
      </c>
      <c r="C187" s="21">
        <v>60</v>
      </c>
      <c r="D187" s="20" t="s">
        <v>1058</v>
      </c>
      <c r="E187" s="20" t="s">
        <v>1019</v>
      </c>
      <c r="F187" s="20" t="s">
        <v>1026</v>
      </c>
      <c r="G187" s="20" t="s">
        <v>1038</v>
      </c>
      <c r="H187" s="29">
        <v>45776</v>
      </c>
      <c r="I187" s="29">
        <v>45780</v>
      </c>
      <c r="J187" s="24">
        <v>171733</v>
      </c>
      <c r="K187" s="21">
        <v>5</v>
      </c>
      <c r="L187" s="21">
        <v>8</v>
      </c>
      <c r="M187" s="21">
        <v>2</v>
      </c>
      <c r="N187" s="24">
        <v>0</v>
      </c>
      <c r="O187" s="21">
        <v>4</v>
      </c>
      <c r="P187" t="str">
        <f t="shared" si="4"/>
        <v>Older Adults</v>
      </c>
      <c r="Q187" t="str">
        <f t="shared" si="5"/>
        <v>High</v>
      </c>
      <c r="R187" t="str">
        <f>IF(OR(AND(Table1[[#This Row],[Diagnosis]]="Labour Complication",Table1[[#This Row],[Gender]]="M"), AND(Table1[[#This Row],[Diagnosis]]="Labour Complication",Table1[[#This Row],[Age]]&lt;15)),"Error","OK")</f>
        <v>OK</v>
      </c>
      <c r="S187" s="4">
        <f>Table1[[#This Row],[Bill_Amount]]+Table1[[#This Row],[Surgery_Cost]]</f>
        <v>171733</v>
      </c>
    </row>
    <row r="188" spans="1:19" x14ac:dyDescent="0.35">
      <c r="A188" s="16" t="s">
        <v>215</v>
      </c>
      <c r="B188" s="17" t="s">
        <v>715</v>
      </c>
      <c r="C188" s="18">
        <v>60</v>
      </c>
      <c r="D188" s="17" t="s">
        <v>1058</v>
      </c>
      <c r="E188" s="17" t="s">
        <v>1021</v>
      </c>
      <c r="F188" s="17" t="s">
        <v>1028</v>
      </c>
      <c r="G188" s="17" t="s">
        <v>1035</v>
      </c>
      <c r="H188" s="30">
        <v>45762</v>
      </c>
      <c r="I188" s="30">
        <v>45774</v>
      </c>
      <c r="J188" s="25">
        <v>54926</v>
      </c>
      <c r="K188" s="18">
        <v>6</v>
      </c>
      <c r="L188" s="18">
        <v>18</v>
      </c>
      <c r="M188" s="18">
        <v>3</v>
      </c>
      <c r="N188" s="25">
        <v>253221</v>
      </c>
      <c r="O188" s="18">
        <v>12</v>
      </c>
      <c r="P188" t="str">
        <f t="shared" si="4"/>
        <v>Older Adults</v>
      </c>
      <c r="Q188" t="str">
        <f t="shared" si="5"/>
        <v>Low</v>
      </c>
      <c r="R188" t="str">
        <f>IF(OR(AND(Table1[[#This Row],[Diagnosis]]="Labour Complication",Table1[[#This Row],[Gender]]="M"), AND(Table1[[#This Row],[Diagnosis]]="Labour Complication",Table1[[#This Row],[Age]]&lt;15)),"Error","OK")</f>
        <v>OK</v>
      </c>
      <c r="S188" s="4">
        <f>Table1[[#This Row],[Bill_Amount]]+Table1[[#This Row],[Surgery_Cost]]</f>
        <v>308147</v>
      </c>
    </row>
    <row r="189" spans="1:19" x14ac:dyDescent="0.35">
      <c r="A189" s="19" t="s">
        <v>216</v>
      </c>
      <c r="B189" s="20" t="s">
        <v>716</v>
      </c>
      <c r="C189" s="21">
        <v>76</v>
      </c>
      <c r="D189" s="20" t="s">
        <v>1058</v>
      </c>
      <c r="E189" s="20" t="s">
        <v>1018</v>
      </c>
      <c r="F189" s="20" t="s">
        <v>1025</v>
      </c>
      <c r="G189" s="20" t="s">
        <v>1032</v>
      </c>
      <c r="H189" s="29">
        <v>45768</v>
      </c>
      <c r="I189" s="29">
        <v>45777</v>
      </c>
      <c r="J189" s="24">
        <v>231175</v>
      </c>
      <c r="K189" s="21">
        <v>8</v>
      </c>
      <c r="L189" s="21">
        <v>5</v>
      </c>
      <c r="M189" s="21">
        <v>3</v>
      </c>
      <c r="N189" s="24">
        <v>0</v>
      </c>
      <c r="O189" s="21">
        <v>9</v>
      </c>
      <c r="P189" t="str">
        <f t="shared" si="4"/>
        <v>Older Adults</v>
      </c>
      <c r="Q189" t="str">
        <f t="shared" si="5"/>
        <v>High</v>
      </c>
      <c r="R189" t="str">
        <f>IF(OR(AND(Table1[[#This Row],[Diagnosis]]="Labour Complication",Table1[[#This Row],[Gender]]="M"), AND(Table1[[#This Row],[Diagnosis]]="Labour Complication",Table1[[#This Row],[Age]]&lt;15)),"Error","OK")</f>
        <v>OK</v>
      </c>
      <c r="S189" s="4">
        <f>Table1[[#This Row],[Bill_Amount]]+Table1[[#This Row],[Surgery_Cost]]</f>
        <v>231175</v>
      </c>
    </row>
    <row r="190" spans="1:19" x14ac:dyDescent="0.35">
      <c r="A190" s="16" t="s">
        <v>217</v>
      </c>
      <c r="B190" s="17" t="s">
        <v>717</v>
      </c>
      <c r="C190" s="18">
        <v>59</v>
      </c>
      <c r="D190" s="17" t="s">
        <v>1058</v>
      </c>
      <c r="E190" s="17" t="s">
        <v>1020</v>
      </c>
      <c r="F190" s="17" t="s">
        <v>1027</v>
      </c>
      <c r="G190" s="17" t="s">
        <v>1043</v>
      </c>
      <c r="H190" s="30">
        <v>45793</v>
      </c>
      <c r="I190" s="30">
        <v>45806</v>
      </c>
      <c r="J190" s="25">
        <v>181123</v>
      </c>
      <c r="K190" s="18">
        <v>4</v>
      </c>
      <c r="L190" s="18">
        <v>17</v>
      </c>
      <c r="M190" s="18">
        <v>2</v>
      </c>
      <c r="N190" s="25">
        <v>0</v>
      </c>
      <c r="O190" s="18">
        <v>13</v>
      </c>
      <c r="P190" t="str">
        <f t="shared" si="4"/>
        <v>Adults</v>
      </c>
      <c r="Q190" t="str">
        <f t="shared" si="5"/>
        <v>High</v>
      </c>
      <c r="R190" t="str">
        <f>IF(OR(AND(Table1[[#This Row],[Diagnosis]]="Labour Complication",Table1[[#This Row],[Gender]]="M"), AND(Table1[[#This Row],[Diagnosis]]="Labour Complication",Table1[[#This Row],[Age]]&lt;15)),"Error","OK")</f>
        <v>OK</v>
      </c>
      <c r="S190" s="4">
        <f>Table1[[#This Row],[Bill_Amount]]+Table1[[#This Row],[Surgery_Cost]]</f>
        <v>181123</v>
      </c>
    </row>
    <row r="191" spans="1:19" x14ac:dyDescent="0.35">
      <c r="A191" s="19" t="s">
        <v>218</v>
      </c>
      <c r="B191" s="20" t="s">
        <v>718</v>
      </c>
      <c r="C191" s="21">
        <v>14</v>
      </c>
      <c r="D191" s="20" t="s">
        <v>1057</v>
      </c>
      <c r="E191" s="20" t="s">
        <v>1020</v>
      </c>
      <c r="F191" s="20" t="s">
        <v>1027</v>
      </c>
      <c r="G191" s="20" t="s">
        <v>1034</v>
      </c>
      <c r="H191" s="29">
        <v>45790</v>
      </c>
      <c r="I191" s="29">
        <v>45805</v>
      </c>
      <c r="J191" s="24">
        <v>303340</v>
      </c>
      <c r="K191" s="21">
        <v>6</v>
      </c>
      <c r="L191" s="21">
        <v>13</v>
      </c>
      <c r="M191" s="21">
        <v>4</v>
      </c>
      <c r="N191" s="24">
        <v>0</v>
      </c>
      <c r="O191" s="21">
        <v>15</v>
      </c>
      <c r="P191" t="str">
        <f t="shared" si="4"/>
        <v>Teenagers</v>
      </c>
      <c r="Q191" t="str">
        <f t="shared" si="5"/>
        <v>High</v>
      </c>
      <c r="R191" t="str">
        <f>IF(OR(AND(Table1[[#This Row],[Diagnosis]]="Labour Complication",Table1[[#This Row],[Gender]]="M"), AND(Table1[[#This Row],[Diagnosis]]="Labour Complication",Table1[[#This Row],[Age]]&lt;15)),"Error","OK")</f>
        <v>OK</v>
      </c>
      <c r="S191" s="4">
        <f>Table1[[#This Row],[Bill_Amount]]+Table1[[#This Row],[Surgery_Cost]]</f>
        <v>303340</v>
      </c>
    </row>
    <row r="192" spans="1:19" x14ac:dyDescent="0.35">
      <c r="A192" s="16" t="s">
        <v>219</v>
      </c>
      <c r="B192" s="17" t="s">
        <v>719</v>
      </c>
      <c r="C192" s="18">
        <v>38</v>
      </c>
      <c r="D192" s="17" t="s">
        <v>1058</v>
      </c>
      <c r="E192" s="17" t="s">
        <v>1019</v>
      </c>
      <c r="F192" s="17" t="s">
        <v>1026</v>
      </c>
      <c r="G192" s="17" t="s">
        <v>1033</v>
      </c>
      <c r="H192" s="30">
        <v>45794</v>
      </c>
      <c r="I192" s="30">
        <v>45801</v>
      </c>
      <c r="J192" s="25">
        <v>351366</v>
      </c>
      <c r="K192" s="18">
        <v>6</v>
      </c>
      <c r="L192" s="18">
        <v>6</v>
      </c>
      <c r="M192" s="18">
        <v>4</v>
      </c>
      <c r="N192" s="25">
        <v>0</v>
      </c>
      <c r="O192" s="18">
        <v>7</v>
      </c>
      <c r="P192" t="str">
        <f t="shared" si="4"/>
        <v>Adults</v>
      </c>
      <c r="Q192" t="str">
        <f t="shared" si="5"/>
        <v>High</v>
      </c>
      <c r="R192" t="str">
        <f>IF(OR(AND(Table1[[#This Row],[Diagnosis]]="Labour Complication",Table1[[#This Row],[Gender]]="M"), AND(Table1[[#This Row],[Diagnosis]]="Labour Complication",Table1[[#This Row],[Age]]&lt;15)),"Error","OK")</f>
        <v>OK</v>
      </c>
      <c r="S192" s="4">
        <f>Table1[[#This Row],[Bill_Amount]]+Table1[[#This Row],[Surgery_Cost]]</f>
        <v>351366</v>
      </c>
    </row>
    <row r="193" spans="1:19" x14ac:dyDescent="0.35">
      <c r="A193" s="19" t="s">
        <v>220</v>
      </c>
      <c r="B193" s="20" t="s">
        <v>720</v>
      </c>
      <c r="C193" s="21">
        <v>36</v>
      </c>
      <c r="D193" s="20" t="s">
        <v>1057</v>
      </c>
      <c r="E193" s="20" t="s">
        <v>1022</v>
      </c>
      <c r="F193" s="20" t="s">
        <v>1029</v>
      </c>
      <c r="G193" s="20" t="s">
        <v>1039</v>
      </c>
      <c r="H193" s="29">
        <v>45788</v>
      </c>
      <c r="I193" s="29">
        <v>45800</v>
      </c>
      <c r="J193" s="24">
        <v>257516</v>
      </c>
      <c r="K193" s="21">
        <v>2</v>
      </c>
      <c r="L193" s="21">
        <v>18</v>
      </c>
      <c r="M193" s="21">
        <v>2</v>
      </c>
      <c r="N193" s="24">
        <v>0</v>
      </c>
      <c r="O193" s="21">
        <v>12</v>
      </c>
      <c r="P193" t="str">
        <f t="shared" si="4"/>
        <v>Adults</v>
      </c>
      <c r="Q193" t="str">
        <f t="shared" si="5"/>
        <v>High</v>
      </c>
      <c r="R193" t="str">
        <f>IF(OR(AND(Table1[[#This Row],[Diagnosis]]="Labour Complication",Table1[[#This Row],[Gender]]="M"), AND(Table1[[#This Row],[Diagnosis]]="Labour Complication",Table1[[#This Row],[Age]]&lt;15)),"Error","OK")</f>
        <v>OK</v>
      </c>
      <c r="S193" s="4">
        <f>Table1[[#This Row],[Bill_Amount]]+Table1[[#This Row],[Surgery_Cost]]</f>
        <v>257516</v>
      </c>
    </row>
    <row r="194" spans="1:19" x14ac:dyDescent="0.35">
      <c r="A194" s="16" t="s">
        <v>221</v>
      </c>
      <c r="B194" s="17" t="s">
        <v>721</v>
      </c>
      <c r="C194" s="18">
        <v>37</v>
      </c>
      <c r="D194" s="17" t="s">
        <v>1057</v>
      </c>
      <c r="E194" s="17" t="s">
        <v>1019</v>
      </c>
      <c r="F194" s="17" t="s">
        <v>1026</v>
      </c>
      <c r="G194" s="17" t="s">
        <v>1038</v>
      </c>
      <c r="H194" s="30">
        <v>45780</v>
      </c>
      <c r="I194" s="30">
        <v>45793</v>
      </c>
      <c r="J194" s="25">
        <v>310428</v>
      </c>
      <c r="K194" s="18">
        <v>3</v>
      </c>
      <c r="L194" s="18">
        <v>12</v>
      </c>
      <c r="M194" s="18">
        <v>3</v>
      </c>
      <c r="N194" s="25">
        <v>0</v>
      </c>
      <c r="O194" s="18">
        <v>13</v>
      </c>
      <c r="P194" t="str">
        <f t="shared" ref="P194:P257" si="6">IF(C194&lt;=12,"Children", IF(C194&lt;=19,"Teenagers", IF(C194&lt;60, "Adults","Older Adults")))</f>
        <v>Adults</v>
      </c>
      <c r="Q194" t="str">
        <f t="shared" ref="Q194:Q257" si="7">IF(J194&lt;100000,"Low", IF(J194&lt;150000,"Medium","High"))</f>
        <v>High</v>
      </c>
      <c r="R194" t="str">
        <f>IF(OR(AND(Table1[[#This Row],[Diagnosis]]="Labour Complication",Table1[[#This Row],[Gender]]="M"), AND(Table1[[#This Row],[Diagnosis]]="Labour Complication",Table1[[#This Row],[Age]]&lt;15)),"Error","OK")</f>
        <v>OK</v>
      </c>
      <c r="S194" s="4">
        <f>Table1[[#This Row],[Bill_Amount]]+Table1[[#This Row],[Surgery_Cost]]</f>
        <v>310428</v>
      </c>
    </row>
    <row r="195" spans="1:19" x14ac:dyDescent="0.35">
      <c r="A195" s="19" t="s">
        <v>222</v>
      </c>
      <c r="B195" s="20" t="s">
        <v>722</v>
      </c>
      <c r="C195" s="21">
        <v>80</v>
      </c>
      <c r="D195" s="20" t="s">
        <v>1058</v>
      </c>
      <c r="E195" s="20" t="s">
        <v>1017</v>
      </c>
      <c r="F195" s="20" t="s">
        <v>1024</v>
      </c>
      <c r="G195" s="20" t="s">
        <v>1042</v>
      </c>
      <c r="H195" s="29">
        <v>45801</v>
      </c>
      <c r="I195" s="29">
        <v>45813</v>
      </c>
      <c r="J195" s="24">
        <v>149683</v>
      </c>
      <c r="K195" s="21">
        <v>5</v>
      </c>
      <c r="L195" s="21">
        <v>14</v>
      </c>
      <c r="M195" s="21">
        <v>2</v>
      </c>
      <c r="N195" s="24">
        <v>0</v>
      </c>
      <c r="O195" s="21">
        <v>12</v>
      </c>
      <c r="P195" t="str">
        <f t="shared" si="6"/>
        <v>Older Adults</v>
      </c>
      <c r="Q195" t="str">
        <f t="shared" si="7"/>
        <v>Medium</v>
      </c>
      <c r="R195" t="str">
        <f>IF(OR(AND(Table1[[#This Row],[Diagnosis]]="Labour Complication",Table1[[#This Row],[Gender]]="M"), AND(Table1[[#This Row],[Diagnosis]]="Labour Complication",Table1[[#This Row],[Age]]&lt;15)),"Error","OK")</f>
        <v>OK</v>
      </c>
      <c r="S195" s="4">
        <f>Table1[[#This Row],[Bill_Amount]]+Table1[[#This Row],[Surgery_Cost]]</f>
        <v>149683</v>
      </c>
    </row>
    <row r="196" spans="1:19" x14ac:dyDescent="0.35">
      <c r="A196" s="16" t="s">
        <v>223</v>
      </c>
      <c r="B196" s="17" t="s">
        <v>723</v>
      </c>
      <c r="C196" s="18">
        <v>83</v>
      </c>
      <c r="D196" s="17" t="s">
        <v>1057</v>
      </c>
      <c r="E196" s="17" t="s">
        <v>1016</v>
      </c>
      <c r="F196" s="17" t="s">
        <v>1023</v>
      </c>
      <c r="G196" s="17" t="s">
        <v>1040</v>
      </c>
      <c r="H196" s="30">
        <v>45758</v>
      </c>
      <c r="I196" s="30">
        <v>45761</v>
      </c>
      <c r="J196" s="25">
        <v>378968</v>
      </c>
      <c r="K196" s="18">
        <v>6</v>
      </c>
      <c r="L196" s="18">
        <v>14</v>
      </c>
      <c r="M196" s="18">
        <v>3</v>
      </c>
      <c r="N196" s="25">
        <v>0</v>
      </c>
      <c r="O196" s="18">
        <v>3</v>
      </c>
      <c r="P196" t="str">
        <f t="shared" si="6"/>
        <v>Older Adults</v>
      </c>
      <c r="Q196" t="str">
        <f t="shared" si="7"/>
        <v>High</v>
      </c>
      <c r="R196" t="str">
        <f>IF(OR(AND(Table1[[#This Row],[Diagnosis]]="Labour Complication",Table1[[#This Row],[Gender]]="M"), AND(Table1[[#This Row],[Diagnosis]]="Labour Complication",Table1[[#This Row],[Age]]&lt;15)),"Error","OK")</f>
        <v>OK</v>
      </c>
      <c r="S196" s="4">
        <f>Table1[[#This Row],[Bill_Amount]]+Table1[[#This Row],[Surgery_Cost]]</f>
        <v>378968</v>
      </c>
    </row>
    <row r="197" spans="1:19" x14ac:dyDescent="0.35">
      <c r="A197" s="19" t="s">
        <v>224</v>
      </c>
      <c r="B197" s="20" t="s">
        <v>724</v>
      </c>
      <c r="C197" s="21">
        <v>75</v>
      </c>
      <c r="D197" s="20" t="s">
        <v>1058</v>
      </c>
      <c r="E197" s="20" t="s">
        <v>1022</v>
      </c>
      <c r="F197" s="20" t="s">
        <v>1029</v>
      </c>
      <c r="G197" s="20" t="s">
        <v>1039</v>
      </c>
      <c r="H197" s="29">
        <v>45776</v>
      </c>
      <c r="I197" s="29">
        <v>45785</v>
      </c>
      <c r="J197" s="24">
        <v>67492</v>
      </c>
      <c r="K197" s="21">
        <v>6</v>
      </c>
      <c r="L197" s="21">
        <v>19</v>
      </c>
      <c r="M197" s="21">
        <v>1</v>
      </c>
      <c r="N197" s="24">
        <v>0</v>
      </c>
      <c r="O197" s="21">
        <v>9</v>
      </c>
      <c r="P197" t="str">
        <f t="shared" si="6"/>
        <v>Older Adults</v>
      </c>
      <c r="Q197" t="str">
        <f t="shared" si="7"/>
        <v>Low</v>
      </c>
      <c r="R197" t="str">
        <f>IF(OR(AND(Table1[[#This Row],[Diagnosis]]="Labour Complication",Table1[[#This Row],[Gender]]="M"), AND(Table1[[#This Row],[Diagnosis]]="Labour Complication",Table1[[#This Row],[Age]]&lt;15)),"Error","OK")</f>
        <v>OK</v>
      </c>
      <c r="S197" s="4">
        <f>Table1[[#This Row],[Bill_Amount]]+Table1[[#This Row],[Surgery_Cost]]</f>
        <v>67492</v>
      </c>
    </row>
    <row r="198" spans="1:19" x14ac:dyDescent="0.35">
      <c r="A198" s="16" t="s">
        <v>225</v>
      </c>
      <c r="B198" s="17" t="s">
        <v>725</v>
      </c>
      <c r="C198" s="18">
        <v>54</v>
      </c>
      <c r="D198" s="17" t="s">
        <v>1057</v>
      </c>
      <c r="E198" s="17" t="s">
        <v>1018</v>
      </c>
      <c r="F198" s="17" t="s">
        <v>1025</v>
      </c>
      <c r="G198" s="17" t="s">
        <v>1044</v>
      </c>
      <c r="H198" s="30">
        <v>45788</v>
      </c>
      <c r="I198" s="30">
        <v>45794</v>
      </c>
      <c r="J198" s="25">
        <v>221294</v>
      </c>
      <c r="K198" s="18">
        <v>1</v>
      </c>
      <c r="L198" s="18">
        <v>16</v>
      </c>
      <c r="M198" s="18">
        <v>2</v>
      </c>
      <c r="N198" s="25">
        <v>0</v>
      </c>
      <c r="O198" s="18">
        <v>6</v>
      </c>
      <c r="P198" t="str">
        <f t="shared" si="6"/>
        <v>Adults</v>
      </c>
      <c r="Q198" t="str">
        <f t="shared" si="7"/>
        <v>High</v>
      </c>
      <c r="R198" t="str">
        <f>IF(OR(AND(Table1[[#This Row],[Diagnosis]]="Labour Complication",Table1[[#This Row],[Gender]]="M"), AND(Table1[[#This Row],[Diagnosis]]="Labour Complication",Table1[[#This Row],[Age]]&lt;15)),"Error","OK")</f>
        <v>OK</v>
      </c>
      <c r="S198" s="4">
        <f>Table1[[#This Row],[Bill_Amount]]+Table1[[#This Row],[Surgery_Cost]]</f>
        <v>221294</v>
      </c>
    </row>
    <row r="199" spans="1:19" x14ac:dyDescent="0.35">
      <c r="A199" s="19" t="s">
        <v>226</v>
      </c>
      <c r="B199" s="20" t="s">
        <v>726</v>
      </c>
      <c r="C199" s="21">
        <v>47</v>
      </c>
      <c r="D199" s="20" t="s">
        <v>1058</v>
      </c>
      <c r="E199" s="20" t="s">
        <v>1017</v>
      </c>
      <c r="F199" s="20" t="s">
        <v>1024</v>
      </c>
      <c r="G199" s="20" t="s">
        <v>1042</v>
      </c>
      <c r="H199" s="29">
        <v>45790</v>
      </c>
      <c r="I199" s="29">
        <v>45804</v>
      </c>
      <c r="J199" s="24">
        <v>332805</v>
      </c>
      <c r="K199" s="21">
        <v>3</v>
      </c>
      <c r="L199" s="21">
        <v>9</v>
      </c>
      <c r="M199" s="21">
        <v>2</v>
      </c>
      <c r="N199" s="24">
        <v>0</v>
      </c>
      <c r="O199" s="21">
        <v>14</v>
      </c>
      <c r="P199" t="str">
        <f t="shared" si="6"/>
        <v>Adults</v>
      </c>
      <c r="Q199" t="str">
        <f t="shared" si="7"/>
        <v>High</v>
      </c>
      <c r="R199" t="str">
        <f>IF(OR(AND(Table1[[#This Row],[Diagnosis]]="Labour Complication",Table1[[#This Row],[Gender]]="M"), AND(Table1[[#This Row],[Diagnosis]]="Labour Complication",Table1[[#This Row],[Age]]&lt;15)),"Error","OK")</f>
        <v>OK</v>
      </c>
      <c r="S199" s="4">
        <f>Table1[[#This Row],[Bill_Amount]]+Table1[[#This Row],[Surgery_Cost]]</f>
        <v>332805</v>
      </c>
    </row>
    <row r="200" spans="1:19" x14ac:dyDescent="0.35">
      <c r="A200" s="16" t="s">
        <v>227</v>
      </c>
      <c r="B200" s="17" t="s">
        <v>727</v>
      </c>
      <c r="C200" s="18">
        <v>38</v>
      </c>
      <c r="D200" s="17" t="s">
        <v>1058</v>
      </c>
      <c r="E200" s="17" t="s">
        <v>1021</v>
      </c>
      <c r="F200" s="17" t="s">
        <v>1028</v>
      </c>
      <c r="G200" s="17" t="s">
        <v>1035</v>
      </c>
      <c r="H200" s="30">
        <v>45787</v>
      </c>
      <c r="I200" s="30">
        <v>45802</v>
      </c>
      <c r="J200" s="25">
        <v>302627</v>
      </c>
      <c r="K200" s="18">
        <v>1</v>
      </c>
      <c r="L200" s="18">
        <v>7</v>
      </c>
      <c r="M200" s="18">
        <v>3</v>
      </c>
      <c r="N200" s="25">
        <v>238948</v>
      </c>
      <c r="O200" s="18">
        <v>15</v>
      </c>
      <c r="P200" t="str">
        <f t="shared" si="6"/>
        <v>Adults</v>
      </c>
      <c r="Q200" t="str">
        <f t="shared" si="7"/>
        <v>High</v>
      </c>
      <c r="R200" t="str">
        <f>IF(OR(AND(Table1[[#This Row],[Diagnosis]]="Labour Complication",Table1[[#This Row],[Gender]]="M"), AND(Table1[[#This Row],[Diagnosis]]="Labour Complication",Table1[[#This Row],[Age]]&lt;15)),"Error","OK")</f>
        <v>OK</v>
      </c>
      <c r="S200" s="4">
        <f>Table1[[#This Row],[Bill_Amount]]+Table1[[#This Row],[Surgery_Cost]]</f>
        <v>541575</v>
      </c>
    </row>
    <row r="201" spans="1:19" x14ac:dyDescent="0.35">
      <c r="A201" s="19" t="s">
        <v>228</v>
      </c>
      <c r="B201" s="20" t="s">
        <v>728</v>
      </c>
      <c r="C201" s="21">
        <v>29</v>
      </c>
      <c r="D201" s="20" t="s">
        <v>1058</v>
      </c>
      <c r="E201" s="20" t="s">
        <v>1020</v>
      </c>
      <c r="F201" s="20" t="s">
        <v>1027</v>
      </c>
      <c r="G201" s="20" t="s">
        <v>1034</v>
      </c>
      <c r="H201" s="29">
        <v>45746</v>
      </c>
      <c r="I201" s="29">
        <v>45749</v>
      </c>
      <c r="J201" s="24">
        <v>123797</v>
      </c>
      <c r="K201" s="21">
        <v>5</v>
      </c>
      <c r="L201" s="21">
        <v>13</v>
      </c>
      <c r="M201" s="21">
        <v>2</v>
      </c>
      <c r="N201" s="24">
        <v>0</v>
      </c>
      <c r="O201" s="21">
        <v>3</v>
      </c>
      <c r="P201" t="str">
        <f t="shared" si="6"/>
        <v>Adults</v>
      </c>
      <c r="Q201" t="str">
        <f t="shared" si="7"/>
        <v>Medium</v>
      </c>
      <c r="R201" t="str">
        <f>IF(OR(AND(Table1[[#This Row],[Diagnosis]]="Labour Complication",Table1[[#This Row],[Gender]]="M"), AND(Table1[[#This Row],[Diagnosis]]="Labour Complication",Table1[[#This Row],[Age]]&lt;15)),"Error","OK")</f>
        <v>OK</v>
      </c>
      <c r="S201" s="4">
        <f>Table1[[#This Row],[Bill_Amount]]+Table1[[#This Row],[Surgery_Cost]]</f>
        <v>123797</v>
      </c>
    </row>
    <row r="202" spans="1:19" x14ac:dyDescent="0.35">
      <c r="A202" s="16" t="s">
        <v>229</v>
      </c>
      <c r="B202" s="17" t="s">
        <v>729</v>
      </c>
      <c r="C202" s="18">
        <v>2</v>
      </c>
      <c r="D202" s="17" t="s">
        <v>1058</v>
      </c>
      <c r="E202" s="17" t="s">
        <v>1018</v>
      </c>
      <c r="F202" s="17" t="s">
        <v>1025</v>
      </c>
      <c r="G202" s="17" t="s">
        <v>1032</v>
      </c>
      <c r="H202" s="30">
        <v>45776</v>
      </c>
      <c r="I202" s="30">
        <v>45790</v>
      </c>
      <c r="J202" s="25">
        <v>256870</v>
      </c>
      <c r="K202" s="18">
        <v>7</v>
      </c>
      <c r="L202" s="18">
        <v>19</v>
      </c>
      <c r="M202" s="18">
        <v>4</v>
      </c>
      <c r="N202" s="25">
        <v>0</v>
      </c>
      <c r="O202" s="18">
        <v>14</v>
      </c>
      <c r="P202" t="str">
        <f t="shared" si="6"/>
        <v>Children</v>
      </c>
      <c r="Q202" t="str">
        <f t="shared" si="7"/>
        <v>High</v>
      </c>
      <c r="R202" t="str">
        <f>IF(OR(AND(Table1[[#This Row],[Diagnosis]]="Labour Complication",Table1[[#This Row],[Gender]]="M"), AND(Table1[[#This Row],[Diagnosis]]="Labour Complication",Table1[[#This Row],[Age]]&lt;15)),"Error","OK")</f>
        <v>OK</v>
      </c>
      <c r="S202" s="4">
        <f>Table1[[#This Row],[Bill_Amount]]+Table1[[#This Row],[Surgery_Cost]]</f>
        <v>256870</v>
      </c>
    </row>
    <row r="203" spans="1:19" x14ac:dyDescent="0.35">
      <c r="A203" s="19" t="s">
        <v>230</v>
      </c>
      <c r="B203" s="20" t="s">
        <v>730</v>
      </c>
      <c r="C203" s="21">
        <v>87</v>
      </c>
      <c r="D203" s="20" t="s">
        <v>1058</v>
      </c>
      <c r="E203" s="20" t="s">
        <v>1018</v>
      </c>
      <c r="F203" s="20" t="s">
        <v>1025</v>
      </c>
      <c r="G203" s="20" t="s">
        <v>1032</v>
      </c>
      <c r="H203" s="29">
        <v>45783</v>
      </c>
      <c r="I203" s="29">
        <v>45792</v>
      </c>
      <c r="J203" s="24">
        <v>243245</v>
      </c>
      <c r="K203" s="21">
        <v>1</v>
      </c>
      <c r="L203" s="21">
        <v>17</v>
      </c>
      <c r="M203" s="21">
        <v>1</v>
      </c>
      <c r="N203" s="24">
        <v>0</v>
      </c>
      <c r="O203" s="21">
        <v>9</v>
      </c>
      <c r="P203" t="str">
        <f t="shared" si="6"/>
        <v>Older Adults</v>
      </c>
      <c r="Q203" t="str">
        <f t="shared" si="7"/>
        <v>High</v>
      </c>
      <c r="R203" t="str">
        <f>IF(OR(AND(Table1[[#This Row],[Diagnosis]]="Labour Complication",Table1[[#This Row],[Gender]]="M"), AND(Table1[[#This Row],[Diagnosis]]="Labour Complication",Table1[[#This Row],[Age]]&lt;15)),"Error","OK")</f>
        <v>OK</v>
      </c>
      <c r="S203" s="4">
        <f>Table1[[#This Row],[Bill_Amount]]+Table1[[#This Row],[Surgery_Cost]]</f>
        <v>243245</v>
      </c>
    </row>
    <row r="204" spans="1:19" x14ac:dyDescent="0.35">
      <c r="A204" s="16" t="s">
        <v>231</v>
      </c>
      <c r="B204" s="17" t="s">
        <v>731</v>
      </c>
      <c r="C204" s="18">
        <v>48</v>
      </c>
      <c r="D204" s="17" t="s">
        <v>1057</v>
      </c>
      <c r="E204" s="17" t="s">
        <v>1020</v>
      </c>
      <c r="F204" s="17" t="s">
        <v>1027</v>
      </c>
      <c r="G204" s="17" t="s">
        <v>1043</v>
      </c>
      <c r="H204" s="30">
        <v>45801</v>
      </c>
      <c r="I204" s="30">
        <v>45816</v>
      </c>
      <c r="J204" s="25">
        <v>384783</v>
      </c>
      <c r="K204" s="18">
        <v>6</v>
      </c>
      <c r="L204" s="18">
        <v>1</v>
      </c>
      <c r="M204" s="18">
        <v>1</v>
      </c>
      <c r="N204" s="25">
        <v>0</v>
      </c>
      <c r="O204" s="18">
        <v>15</v>
      </c>
      <c r="P204" t="str">
        <f t="shared" si="6"/>
        <v>Adults</v>
      </c>
      <c r="Q204" t="str">
        <f t="shared" si="7"/>
        <v>High</v>
      </c>
      <c r="R204" t="str">
        <f>IF(OR(AND(Table1[[#This Row],[Diagnosis]]="Labour Complication",Table1[[#This Row],[Gender]]="M"), AND(Table1[[#This Row],[Diagnosis]]="Labour Complication",Table1[[#This Row],[Age]]&lt;15)),"Error","OK")</f>
        <v>OK</v>
      </c>
      <c r="S204" s="4">
        <f>Table1[[#This Row],[Bill_Amount]]+Table1[[#This Row],[Surgery_Cost]]</f>
        <v>384783</v>
      </c>
    </row>
    <row r="205" spans="1:19" x14ac:dyDescent="0.35">
      <c r="A205" s="19" t="s">
        <v>232</v>
      </c>
      <c r="B205" s="20" t="s">
        <v>732</v>
      </c>
      <c r="C205" s="21">
        <v>72</v>
      </c>
      <c r="D205" s="20" t="s">
        <v>1058</v>
      </c>
      <c r="E205" s="20" t="s">
        <v>1020</v>
      </c>
      <c r="F205" s="20" t="s">
        <v>1027</v>
      </c>
      <c r="G205" s="20" t="s">
        <v>1043</v>
      </c>
      <c r="H205" s="29">
        <v>45788</v>
      </c>
      <c r="I205" s="29">
        <v>45790</v>
      </c>
      <c r="J205" s="24">
        <v>374820</v>
      </c>
      <c r="K205" s="21">
        <v>3</v>
      </c>
      <c r="L205" s="21">
        <v>3</v>
      </c>
      <c r="M205" s="21">
        <v>3</v>
      </c>
      <c r="N205" s="24">
        <v>0</v>
      </c>
      <c r="O205" s="21">
        <v>2</v>
      </c>
      <c r="P205" t="str">
        <f t="shared" si="6"/>
        <v>Older Adults</v>
      </c>
      <c r="Q205" t="str">
        <f t="shared" si="7"/>
        <v>High</v>
      </c>
      <c r="R205" t="str">
        <f>IF(OR(AND(Table1[[#This Row],[Diagnosis]]="Labour Complication",Table1[[#This Row],[Gender]]="M"), AND(Table1[[#This Row],[Diagnosis]]="Labour Complication",Table1[[#This Row],[Age]]&lt;15)),"Error","OK")</f>
        <v>OK</v>
      </c>
      <c r="S205" s="4">
        <f>Table1[[#This Row],[Bill_Amount]]+Table1[[#This Row],[Surgery_Cost]]</f>
        <v>374820</v>
      </c>
    </row>
    <row r="206" spans="1:19" x14ac:dyDescent="0.35">
      <c r="A206" s="16" t="s">
        <v>233</v>
      </c>
      <c r="B206" s="17" t="s">
        <v>733</v>
      </c>
      <c r="C206" s="18">
        <v>60</v>
      </c>
      <c r="D206" s="17" t="s">
        <v>1058</v>
      </c>
      <c r="E206" s="17" t="s">
        <v>1016</v>
      </c>
      <c r="F206" s="17" t="s">
        <v>1023</v>
      </c>
      <c r="G206" s="17" t="s">
        <v>1040</v>
      </c>
      <c r="H206" s="30">
        <v>45781</v>
      </c>
      <c r="I206" s="30">
        <v>45784</v>
      </c>
      <c r="J206" s="25">
        <v>383134</v>
      </c>
      <c r="K206" s="18">
        <v>8</v>
      </c>
      <c r="L206" s="18">
        <v>19</v>
      </c>
      <c r="M206" s="18">
        <v>3</v>
      </c>
      <c r="N206" s="25">
        <v>0</v>
      </c>
      <c r="O206" s="18">
        <v>3</v>
      </c>
      <c r="P206" t="str">
        <f t="shared" si="6"/>
        <v>Older Adults</v>
      </c>
      <c r="Q206" t="str">
        <f t="shared" si="7"/>
        <v>High</v>
      </c>
      <c r="R206" t="str">
        <f>IF(OR(AND(Table1[[#This Row],[Diagnosis]]="Labour Complication",Table1[[#This Row],[Gender]]="M"), AND(Table1[[#This Row],[Diagnosis]]="Labour Complication",Table1[[#This Row],[Age]]&lt;15)),"Error","OK")</f>
        <v>OK</v>
      </c>
      <c r="S206" s="4">
        <f>Table1[[#This Row],[Bill_Amount]]+Table1[[#This Row],[Surgery_Cost]]</f>
        <v>383134</v>
      </c>
    </row>
    <row r="207" spans="1:19" x14ac:dyDescent="0.35">
      <c r="A207" s="19" t="s">
        <v>234</v>
      </c>
      <c r="B207" s="20" t="s">
        <v>734</v>
      </c>
      <c r="C207" s="21">
        <v>5</v>
      </c>
      <c r="D207" s="20" t="s">
        <v>1058</v>
      </c>
      <c r="E207" s="20" t="s">
        <v>1018</v>
      </c>
      <c r="F207" s="20" t="s">
        <v>1025</v>
      </c>
      <c r="G207" s="20" t="s">
        <v>1037</v>
      </c>
      <c r="H207" s="29">
        <v>45802</v>
      </c>
      <c r="I207" s="29">
        <v>45806</v>
      </c>
      <c r="J207" s="24">
        <v>73774</v>
      </c>
      <c r="K207" s="21">
        <v>5</v>
      </c>
      <c r="L207" s="21">
        <v>12</v>
      </c>
      <c r="M207" s="21">
        <v>4</v>
      </c>
      <c r="N207" s="24">
        <v>0</v>
      </c>
      <c r="O207" s="21">
        <v>4</v>
      </c>
      <c r="P207" t="str">
        <f t="shared" si="6"/>
        <v>Children</v>
      </c>
      <c r="Q207" t="str">
        <f t="shared" si="7"/>
        <v>Low</v>
      </c>
      <c r="R207" t="str">
        <f>IF(OR(AND(Table1[[#This Row],[Diagnosis]]="Labour Complication",Table1[[#This Row],[Gender]]="M"), AND(Table1[[#This Row],[Diagnosis]]="Labour Complication",Table1[[#This Row],[Age]]&lt;15)),"Error","OK")</f>
        <v>OK</v>
      </c>
      <c r="S207" s="4">
        <f>Table1[[#This Row],[Bill_Amount]]+Table1[[#This Row],[Surgery_Cost]]</f>
        <v>73774</v>
      </c>
    </row>
    <row r="208" spans="1:19" x14ac:dyDescent="0.35">
      <c r="A208" s="16" t="s">
        <v>235</v>
      </c>
      <c r="B208" s="17" t="s">
        <v>735</v>
      </c>
      <c r="C208" s="18">
        <v>69</v>
      </c>
      <c r="D208" s="17" t="s">
        <v>1057</v>
      </c>
      <c r="E208" s="17" t="s">
        <v>1018</v>
      </c>
      <c r="F208" s="17" t="s">
        <v>1025</v>
      </c>
      <c r="G208" s="17" t="s">
        <v>1037</v>
      </c>
      <c r="H208" s="30">
        <v>45749</v>
      </c>
      <c r="I208" s="30">
        <v>45752</v>
      </c>
      <c r="J208" s="25">
        <v>173102</v>
      </c>
      <c r="K208" s="18">
        <v>6</v>
      </c>
      <c r="L208" s="18">
        <v>13</v>
      </c>
      <c r="M208" s="18">
        <v>3</v>
      </c>
      <c r="N208" s="25">
        <v>0</v>
      </c>
      <c r="O208" s="18">
        <v>3</v>
      </c>
      <c r="P208" t="str">
        <f t="shared" si="6"/>
        <v>Older Adults</v>
      </c>
      <c r="Q208" t="str">
        <f t="shared" si="7"/>
        <v>High</v>
      </c>
      <c r="R208" t="str">
        <f>IF(OR(AND(Table1[[#This Row],[Diagnosis]]="Labour Complication",Table1[[#This Row],[Gender]]="M"), AND(Table1[[#This Row],[Diagnosis]]="Labour Complication",Table1[[#This Row],[Age]]&lt;15)),"Error","OK")</f>
        <v>OK</v>
      </c>
      <c r="S208" s="4">
        <f>Table1[[#This Row],[Bill_Amount]]+Table1[[#This Row],[Surgery_Cost]]</f>
        <v>173102</v>
      </c>
    </row>
    <row r="209" spans="1:19" x14ac:dyDescent="0.35">
      <c r="A209" s="19" t="s">
        <v>236</v>
      </c>
      <c r="B209" s="20" t="s">
        <v>736</v>
      </c>
      <c r="C209" s="21">
        <v>90</v>
      </c>
      <c r="D209" s="20" t="s">
        <v>1058</v>
      </c>
      <c r="E209" s="20" t="s">
        <v>1020</v>
      </c>
      <c r="F209" s="20" t="s">
        <v>1027</v>
      </c>
      <c r="G209" s="20" t="s">
        <v>1043</v>
      </c>
      <c r="H209" s="29">
        <v>45792</v>
      </c>
      <c r="I209" s="29">
        <v>45799</v>
      </c>
      <c r="J209" s="24">
        <v>401527</v>
      </c>
      <c r="K209" s="21">
        <v>1</v>
      </c>
      <c r="L209" s="21">
        <v>12</v>
      </c>
      <c r="M209" s="21">
        <v>3</v>
      </c>
      <c r="N209" s="24">
        <v>0</v>
      </c>
      <c r="O209" s="21">
        <v>7</v>
      </c>
      <c r="P209" t="str">
        <f t="shared" si="6"/>
        <v>Older Adults</v>
      </c>
      <c r="Q209" t="str">
        <f t="shared" si="7"/>
        <v>High</v>
      </c>
      <c r="R209" t="str">
        <f>IF(OR(AND(Table1[[#This Row],[Diagnosis]]="Labour Complication",Table1[[#This Row],[Gender]]="M"), AND(Table1[[#This Row],[Diagnosis]]="Labour Complication",Table1[[#This Row],[Age]]&lt;15)),"Error","OK")</f>
        <v>OK</v>
      </c>
      <c r="S209" s="4">
        <f>Table1[[#This Row],[Bill_Amount]]+Table1[[#This Row],[Surgery_Cost]]</f>
        <v>401527</v>
      </c>
    </row>
    <row r="210" spans="1:19" x14ac:dyDescent="0.35">
      <c r="A210" s="16" t="s">
        <v>237</v>
      </c>
      <c r="B210" s="17" t="s">
        <v>737</v>
      </c>
      <c r="C210" s="18">
        <v>63</v>
      </c>
      <c r="D210" s="17" t="s">
        <v>1058</v>
      </c>
      <c r="E210" s="17" t="s">
        <v>1020</v>
      </c>
      <c r="F210" s="17" t="s">
        <v>1027</v>
      </c>
      <c r="G210" s="17" t="s">
        <v>1034</v>
      </c>
      <c r="H210" s="30">
        <v>45777</v>
      </c>
      <c r="I210" s="30">
        <v>45789</v>
      </c>
      <c r="J210" s="25">
        <v>101915</v>
      </c>
      <c r="K210" s="18">
        <v>4</v>
      </c>
      <c r="L210" s="18">
        <v>10</v>
      </c>
      <c r="M210" s="18">
        <v>4</v>
      </c>
      <c r="N210" s="25">
        <v>0</v>
      </c>
      <c r="O210" s="18">
        <v>12</v>
      </c>
      <c r="P210" t="str">
        <f t="shared" si="6"/>
        <v>Older Adults</v>
      </c>
      <c r="Q210" t="str">
        <f t="shared" si="7"/>
        <v>Medium</v>
      </c>
      <c r="R210" t="str">
        <f>IF(OR(AND(Table1[[#This Row],[Diagnosis]]="Labour Complication",Table1[[#This Row],[Gender]]="M"), AND(Table1[[#This Row],[Diagnosis]]="Labour Complication",Table1[[#This Row],[Age]]&lt;15)),"Error","OK")</f>
        <v>OK</v>
      </c>
      <c r="S210" s="4">
        <f>Table1[[#This Row],[Bill_Amount]]+Table1[[#This Row],[Surgery_Cost]]</f>
        <v>101915</v>
      </c>
    </row>
    <row r="211" spans="1:19" x14ac:dyDescent="0.35">
      <c r="A211" s="19" t="s">
        <v>238</v>
      </c>
      <c r="B211" s="20" t="s">
        <v>738</v>
      </c>
      <c r="C211" s="21">
        <v>28</v>
      </c>
      <c r="D211" s="20" t="s">
        <v>1058</v>
      </c>
      <c r="E211" s="20" t="s">
        <v>1018</v>
      </c>
      <c r="F211" s="20" t="s">
        <v>1025</v>
      </c>
      <c r="G211" s="20" t="s">
        <v>1037</v>
      </c>
      <c r="H211" s="29">
        <v>45797</v>
      </c>
      <c r="I211" s="29">
        <v>45810</v>
      </c>
      <c r="J211" s="24">
        <v>244264</v>
      </c>
      <c r="K211" s="21">
        <v>4</v>
      </c>
      <c r="L211" s="21">
        <v>2</v>
      </c>
      <c r="M211" s="21">
        <v>1</v>
      </c>
      <c r="N211" s="24">
        <v>0</v>
      </c>
      <c r="O211" s="21">
        <v>13</v>
      </c>
      <c r="P211" t="str">
        <f t="shared" si="6"/>
        <v>Adults</v>
      </c>
      <c r="Q211" t="str">
        <f t="shared" si="7"/>
        <v>High</v>
      </c>
      <c r="R211" t="str">
        <f>IF(OR(AND(Table1[[#This Row],[Diagnosis]]="Labour Complication",Table1[[#This Row],[Gender]]="M"), AND(Table1[[#This Row],[Diagnosis]]="Labour Complication",Table1[[#This Row],[Age]]&lt;15)),"Error","OK")</f>
        <v>OK</v>
      </c>
      <c r="S211" s="4">
        <f>Table1[[#This Row],[Bill_Amount]]+Table1[[#This Row],[Surgery_Cost]]</f>
        <v>244264</v>
      </c>
    </row>
    <row r="212" spans="1:19" x14ac:dyDescent="0.35">
      <c r="A212" s="19" t="s">
        <v>240</v>
      </c>
      <c r="B212" s="20" t="s">
        <v>740</v>
      </c>
      <c r="C212" s="21">
        <v>25</v>
      </c>
      <c r="D212" s="20" t="s">
        <v>1057</v>
      </c>
      <c r="E212" s="20" t="s">
        <v>1018</v>
      </c>
      <c r="F212" s="20" t="s">
        <v>1025</v>
      </c>
      <c r="G212" s="20" t="s">
        <v>1037</v>
      </c>
      <c r="H212" s="29">
        <v>45797</v>
      </c>
      <c r="I212" s="29">
        <v>45805</v>
      </c>
      <c r="J212" s="24">
        <v>194641</v>
      </c>
      <c r="K212" s="21">
        <v>4</v>
      </c>
      <c r="L212" s="21">
        <v>5</v>
      </c>
      <c r="M212" s="21">
        <v>1</v>
      </c>
      <c r="N212" s="24">
        <v>0</v>
      </c>
      <c r="O212" s="21">
        <v>8</v>
      </c>
      <c r="P212" t="str">
        <f t="shared" si="6"/>
        <v>Adults</v>
      </c>
      <c r="Q212" t="str">
        <f t="shared" si="7"/>
        <v>High</v>
      </c>
      <c r="R212" t="str">
        <f>IF(OR(AND(Table1[[#This Row],[Diagnosis]]="Labour Complication",Table1[[#This Row],[Gender]]="M"), AND(Table1[[#This Row],[Diagnosis]]="Labour Complication",Table1[[#This Row],[Age]]&lt;15)),"Error","OK")</f>
        <v>OK</v>
      </c>
      <c r="S212" s="4">
        <f>Table1[[#This Row],[Bill_Amount]]+Table1[[#This Row],[Surgery_Cost]]</f>
        <v>194641</v>
      </c>
    </row>
    <row r="213" spans="1:19" x14ac:dyDescent="0.35">
      <c r="A213" s="16" t="s">
        <v>241</v>
      </c>
      <c r="B213" s="17" t="s">
        <v>741</v>
      </c>
      <c r="C213" s="18">
        <v>83</v>
      </c>
      <c r="D213" s="17" t="s">
        <v>1057</v>
      </c>
      <c r="E213" s="17" t="s">
        <v>1018</v>
      </c>
      <c r="F213" s="17" t="s">
        <v>1025</v>
      </c>
      <c r="G213" s="17" t="s">
        <v>1044</v>
      </c>
      <c r="H213" s="30">
        <v>45758</v>
      </c>
      <c r="I213" s="30">
        <v>45770</v>
      </c>
      <c r="J213" s="25">
        <v>161204</v>
      </c>
      <c r="K213" s="18">
        <v>7</v>
      </c>
      <c r="L213" s="18">
        <v>13</v>
      </c>
      <c r="M213" s="18">
        <v>4</v>
      </c>
      <c r="N213" s="25">
        <v>0</v>
      </c>
      <c r="O213" s="18">
        <v>12</v>
      </c>
      <c r="P213" t="str">
        <f t="shared" si="6"/>
        <v>Older Adults</v>
      </c>
      <c r="Q213" t="str">
        <f t="shared" si="7"/>
        <v>High</v>
      </c>
      <c r="R213" t="str">
        <f>IF(OR(AND(Table1[[#This Row],[Diagnosis]]="Labour Complication",Table1[[#This Row],[Gender]]="M"), AND(Table1[[#This Row],[Diagnosis]]="Labour Complication",Table1[[#This Row],[Age]]&lt;15)),"Error","OK")</f>
        <v>OK</v>
      </c>
      <c r="S213" s="4">
        <f>Table1[[#This Row],[Bill_Amount]]+Table1[[#This Row],[Surgery_Cost]]</f>
        <v>161204</v>
      </c>
    </row>
    <row r="214" spans="1:19" x14ac:dyDescent="0.35">
      <c r="A214" s="19" t="s">
        <v>242</v>
      </c>
      <c r="B214" s="20" t="s">
        <v>742</v>
      </c>
      <c r="C214" s="21">
        <v>17</v>
      </c>
      <c r="D214" s="20" t="s">
        <v>1057</v>
      </c>
      <c r="E214" s="20" t="s">
        <v>1022</v>
      </c>
      <c r="F214" s="20" t="s">
        <v>1029</v>
      </c>
      <c r="G214" s="20" t="s">
        <v>1039</v>
      </c>
      <c r="H214" s="29">
        <v>45746</v>
      </c>
      <c r="I214" s="29">
        <v>45753</v>
      </c>
      <c r="J214" s="24">
        <v>177700</v>
      </c>
      <c r="K214" s="21">
        <v>7</v>
      </c>
      <c r="L214" s="21">
        <v>10</v>
      </c>
      <c r="M214" s="21">
        <v>4</v>
      </c>
      <c r="N214" s="24">
        <v>0</v>
      </c>
      <c r="O214" s="21">
        <v>7</v>
      </c>
      <c r="P214" t="str">
        <f t="shared" si="6"/>
        <v>Teenagers</v>
      </c>
      <c r="Q214" t="str">
        <f t="shared" si="7"/>
        <v>High</v>
      </c>
      <c r="R214" t="str">
        <f>IF(OR(AND(Table1[[#This Row],[Diagnosis]]="Labour Complication",Table1[[#This Row],[Gender]]="M"), AND(Table1[[#This Row],[Diagnosis]]="Labour Complication",Table1[[#This Row],[Age]]&lt;15)),"Error","OK")</f>
        <v>OK</v>
      </c>
      <c r="S214" s="4">
        <f>Table1[[#This Row],[Bill_Amount]]+Table1[[#This Row],[Surgery_Cost]]</f>
        <v>177700</v>
      </c>
    </row>
    <row r="215" spans="1:19" x14ac:dyDescent="0.35">
      <c r="A215" s="16" t="s">
        <v>243</v>
      </c>
      <c r="B215" s="17" t="s">
        <v>743</v>
      </c>
      <c r="C215" s="18">
        <v>27</v>
      </c>
      <c r="D215" s="17" t="s">
        <v>1057</v>
      </c>
      <c r="E215" s="17" t="s">
        <v>1022</v>
      </c>
      <c r="F215" s="17" t="s">
        <v>1029</v>
      </c>
      <c r="G215" s="17" t="s">
        <v>1039</v>
      </c>
      <c r="H215" s="30">
        <v>45755</v>
      </c>
      <c r="I215" s="30">
        <v>45769</v>
      </c>
      <c r="J215" s="25">
        <v>340564</v>
      </c>
      <c r="K215" s="18">
        <v>5</v>
      </c>
      <c r="L215" s="18">
        <v>1</v>
      </c>
      <c r="M215" s="18">
        <v>3</v>
      </c>
      <c r="N215" s="25">
        <v>0</v>
      </c>
      <c r="O215" s="18">
        <v>14</v>
      </c>
      <c r="P215" t="str">
        <f t="shared" si="6"/>
        <v>Adults</v>
      </c>
      <c r="Q215" t="str">
        <f t="shared" si="7"/>
        <v>High</v>
      </c>
      <c r="R215" t="str">
        <f>IF(OR(AND(Table1[[#This Row],[Diagnosis]]="Labour Complication",Table1[[#This Row],[Gender]]="M"), AND(Table1[[#This Row],[Diagnosis]]="Labour Complication",Table1[[#This Row],[Age]]&lt;15)),"Error","OK")</f>
        <v>OK</v>
      </c>
      <c r="S215" s="4">
        <f>Table1[[#This Row],[Bill_Amount]]+Table1[[#This Row],[Surgery_Cost]]</f>
        <v>340564</v>
      </c>
    </row>
    <row r="216" spans="1:19" x14ac:dyDescent="0.35">
      <c r="A216" s="19" t="s">
        <v>244</v>
      </c>
      <c r="B216" s="20" t="s">
        <v>744</v>
      </c>
      <c r="C216" s="21">
        <v>77</v>
      </c>
      <c r="D216" s="20" t="s">
        <v>1057</v>
      </c>
      <c r="E216" s="20" t="s">
        <v>1021</v>
      </c>
      <c r="F216" s="20" t="s">
        <v>1028</v>
      </c>
      <c r="G216" s="20" t="s">
        <v>1036</v>
      </c>
      <c r="H216" s="29">
        <v>45774</v>
      </c>
      <c r="I216" s="29">
        <v>45788</v>
      </c>
      <c r="J216" s="24">
        <v>127360</v>
      </c>
      <c r="K216" s="21">
        <v>1</v>
      </c>
      <c r="L216" s="21">
        <v>3</v>
      </c>
      <c r="M216" s="21">
        <v>1</v>
      </c>
      <c r="N216" s="24">
        <v>227212</v>
      </c>
      <c r="O216" s="21">
        <v>14</v>
      </c>
      <c r="P216" t="str">
        <f t="shared" si="6"/>
        <v>Older Adults</v>
      </c>
      <c r="Q216" t="str">
        <f t="shared" si="7"/>
        <v>Medium</v>
      </c>
      <c r="R216" t="str">
        <f>IF(OR(AND(Table1[[#This Row],[Diagnosis]]="Labour Complication",Table1[[#This Row],[Gender]]="M"), AND(Table1[[#This Row],[Diagnosis]]="Labour Complication",Table1[[#This Row],[Age]]&lt;15)),"Error","OK")</f>
        <v>OK</v>
      </c>
      <c r="S216" s="4">
        <f>Table1[[#This Row],[Bill_Amount]]+Table1[[#This Row],[Surgery_Cost]]</f>
        <v>354572</v>
      </c>
    </row>
    <row r="217" spans="1:19" x14ac:dyDescent="0.35">
      <c r="A217" s="16" t="s">
        <v>245</v>
      </c>
      <c r="B217" s="17" t="s">
        <v>745</v>
      </c>
      <c r="C217" s="18">
        <v>70</v>
      </c>
      <c r="D217" s="17" t="s">
        <v>1058</v>
      </c>
      <c r="E217" s="17" t="s">
        <v>1022</v>
      </c>
      <c r="F217" s="17" t="s">
        <v>1029</v>
      </c>
      <c r="G217" s="17" t="s">
        <v>1039</v>
      </c>
      <c r="H217" s="30">
        <v>45755</v>
      </c>
      <c r="I217" s="30">
        <v>45759</v>
      </c>
      <c r="J217" s="25">
        <v>118153</v>
      </c>
      <c r="K217" s="18">
        <v>2</v>
      </c>
      <c r="L217" s="18">
        <v>19</v>
      </c>
      <c r="M217" s="18">
        <v>3</v>
      </c>
      <c r="N217" s="25">
        <v>0</v>
      </c>
      <c r="O217" s="18">
        <v>4</v>
      </c>
      <c r="P217" t="str">
        <f t="shared" si="6"/>
        <v>Older Adults</v>
      </c>
      <c r="Q217" t="str">
        <f t="shared" si="7"/>
        <v>Medium</v>
      </c>
      <c r="R217" t="str">
        <f>IF(OR(AND(Table1[[#This Row],[Diagnosis]]="Labour Complication",Table1[[#This Row],[Gender]]="M"), AND(Table1[[#This Row],[Diagnosis]]="Labour Complication",Table1[[#This Row],[Age]]&lt;15)),"Error","OK")</f>
        <v>OK</v>
      </c>
      <c r="S217" s="4">
        <f>Table1[[#This Row],[Bill_Amount]]+Table1[[#This Row],[Surgery_Cost]]</f>
        <v>118153</v>
      </c>
    </row>
    <row r="218" spans="1:19" x14ac:dyDescent="0.35">
      <c r="A218" s="19" t="s">
        <v>246</v>
      </c>
      <c r="B218" s="20" t="s">
        <v>746</v>
      </c>
      <c r="C218" s="21">
        <v>17</v>
      </c>
      <c r="D218" s="20" t="s">
        <v>1057</v>
      </c>
      <c r="E218" s="20" t="s">
        <v>1018</v>
      </c>
      <c r="F218" s="20" t="s">
        <v>1025</v>
      </c>
      <c r="G218" s="20" t="s">
        <v>1037</v>
      </c>
      <c r="H218" s="29">
        <v>45776</v>
      </c>
      <c r="I218" s="29">
        <v>45788</v>
      </c>
      <c r="J218" s="24">
        <v>63516</v>
      </c>
      <c r="K218" s="21">
        <v>2</v>
      </c>
      <c r="L218" s="21">
        <v>1</v>
      </c>
      <c r="M218" s="21">
        <v>1</v>
      </c>
      <c r="N218" s="24">
        <v>0</v>
      </c>
      <c r="O218" s="21">
        <v>12</v>
      </c>
      <c r="P218" t="str">
        <f t="shared" si="6"/>
        <v>Teenagers</v>
      </c>
      <c r="Q218" t="str">
        <f t="shared" si="7"/>
        <v>Low</v>
      </c>
      <c r="R218" t="str">
        <f>IF(OR(AND(Table1[[#This Row],[Diagnosis]]="Labour Complication",Table1[[#This Row],[Gender]]="M"), AND(Table1[[#This Row],[Diagnosis]]="Labour Complication",Table1[[#This Row],[Age]]&lt;15)),"Error","OK")</f>
        <v>OK</v>
      </c>
      <c r="S218" s="4">
        <f>Table1[[#This Row],[Bill_Amount]]+Table1[[#This Row],[Surgery_Cost]]</f>
        <v>63516</v>
      </c>
    </row>
    <row r="219" spans="1:19" x14ac:dyDescent="0.35">
      <c r="A219" s="16" t="s">
        <v>247</v>
      </c>
      <c r="B219" s="17" t="s">
        <v>747</v>
      </c>
      <c r="C219" s="18">
        <v>76</v>
      </c>
      <c r="D219" s="17" t="s">
        <v>1058</v>
      </c>
      <c r="E219" s="17" t="s">
        <v>1022</v>
      </c>
      <c r="F219" s="17" t="s">
        <v>1029</v>
      </c>
      <c r="G219" s="17" t="s">
        <v>1039</v>
      </c>
      <c r="H219" s="30">
        <v>45746</v>
      </c>
      <c r="I219" s="30">
        <v>45760</v>
      </c>
      <c r="J219" s="25">
        <v>174744</v>
      </c>
      <c r="K219" s="18">
        <v>7</v>
      </c>
      <c r="L219" s="18">
        <v>3</v>
      </c>
      <c r="M219" s="18">
        <v>3</v>
      </c>
      <c r="N219" s="25">
        <v>0</v>
      </c>
      <c r="O219" s="18">
        <v>14</v>
      </c>
      <c r="P219" t="str">
        <f t="shared" si="6"/>
        <v>Older Adults</v>
      </c>
      <c r="Q219" t="str">
        <f t="shared" si="7"/>
        <v>High</v>
      </c>
      <c r="R219" t="str">
        <f>IF(OR(AND(Table1[[#This Row],[Diagnosis]]="Labour Complication",Table1[[#This Row],[Gender]]="M"), AND(Table1[[#This Row],[Diagnosis]]="Labour Complication",Table1[[#This Row],[Age]]&lt;15)),"Error","OK")</f>
        <v>OK</v>
      </c>
      <c r="S219" s="4">
        <f>Table1[[#This Row],[Bill_Amount]]+Table1[[#This Row],[Surgery_Cost]]</f>
        <v>174744</v>
      </c>
    </row>
    <row r="220" spans="1:19" x14ac:dyDescent="0.35">
      <c r="A220" s="19" t="s">
        <v>248</v>
      </c>
      <c r="B220" s="20" t="s">
        <v>748</v>
      </c>
      <c r="C220" s="21">
        <v>17</v>
      </c>
      <c r="D220" s="20" t="s">
        <v>1058</v>
      </c>
      <c r="E220" s="20" t="s">
        <v>1017</v>
      </c>
      <c r="F220" s="20" t="s">
        <v>1024</v>
      </c>
      <c r="G220" s="20" t="s">
        <v>1042</v>
      </c>
      <c r="H220" s="29">
        <v>45758</v>
      </c>
      <c r="I220" s="29">
        <v>45764</v>
      </c>
      <c r="J220" s="24">
        <v>77472</v>
      </c>
      <c r="K220" s="21">
        <v>2</v>
      </c>
      <c r="L220" s="21">
        <v>8</v>
      </c>
      <c r="M220" s="21">
        <v>1</v>
      </c>
      <c r="N220" s="24">
        <v>0</v>
      </c>
      <c r="O220" s="21">
        <v>6</v>
      </c>
      <c r="P220" t="str">
        <f t="shared" si="6"/>
        <v>Teenagers</v>
      </c>
      <c r="Q220" t="str">
        <f t="shared" si="7"/>
        <v>Low</v>
      </c>
      <c r="R220" t="str">
        <f>IF(OR(AND(Table1[[#This Row],[Diagnosis]]="Labour Complication",Table1[[#This Row],[Gender]]="M"), AND(Table1[[#This Row],[Diagnosis]]="Labour Complication",Table1[[#This Row],[Age]]&lt;15)),"Error","OK")</f>
        <v>OK</v>
      </c>
      <c r="S220" s="4">
        <f>Table1[[#This Row],[Bill_Amount]]+Table1[[#This Row],[Surgery_Cost]]</f>
        <v>77472</v>
      </c>
    </row>
    <row r="221" spans="1:19" x14ac:dyDescent="0.35">
      <c r="A221" s="16" t="s">
        <v>249</v>
      </c>
      <c r="B221" s="17" t="s">
        <v>749</v>
      </c>
      <c r="C221" s="18">
        <v>58</v>
      </c>
      <c r="D221" s="17" t="s">
        <v>1058</v>
      </c>
      <c r="E221" s="17" t="s">
        <v>1016</v>
      </c>
      <c r="F221" s="17" t="s">
        <v>1023</v>
      </c>
      <c r="G221" s="17" t="s">
        <v>1030</v>
      </c>
      <c r="H221" s="30">
        <v>45762</v>
      </c>
      <c r="I221" s="30">
        <v>45765</v>
      </c>
      <c r="J221" s="25">
        <v>299690</v>
      </c>
      <c r="K221" s="18">
        <v>7</v>
      </c>
      <c r="L221" s="18">
        <v>6</v>
      </c>
      <c r="M221" s="18">
        <v>1</v>
      </c>
      <c r="N221" s="25">
        <v>0</v>
      </c>
      <c r="O221" s="18">
        <v>3</v>
      </c>
      <c r="P221" t="str">
        <f t="shared" si="6"/>
        <v>Adults</v>
      </c>
      <c r="Q221" t="str">
        <f t="shared" si="7"/>
        <v>High</v>
      </c>
      <c r="R221" t="str">
        <f>IF(OR(AND(Table1[[#This Row],[Diagnosis]]="Labour Complication",Table1[[#This Row],[Gender]]="M"), AND(Table1[[#This Row],[Diagnosis]]="Labour Complication",Table1[[#This Row],[Age]]&lt;15)),"Error","OK")</f>
        <v>OK</v>
      </c>
      <c r="S221" s="4">
        <f>Table1[[#This Row],[Bill_Amount]]+Table1[[#This Row],[Surgery_Cost]]</f>
        <v>299690</v>
      </c>
    </row>
    <row r="222" spans="1:19" x14ac:dyDescent="0.35">
      <c r="A222" s="19" t="s">
        <v>250</v>
      </c>
      <c r="B222" s="20" t="s">
        <v>750</v>
      </c>
      <c r="C222" s="21">
        <v>79</v>
      </c>
      <c r="D222" s="20" t="s">
        <v>1057</v>
      </c>
      <c r="E222" s="20" t="s">
        <v>1020</v>
      </c>
      <c r="F222" s="20" t="s">
        <v>1027</v>
      </c>
      <c r="G222" s="20" t="s">
        <v>1034</v>
      </c>
      <c r="H222" s="29">
        <v>45759</v>
      </c>
      <c r="I222" s="29">
        <v>45769</v>
      </c>
      <c r="J222" s="24">
        <v>166155</v>
      </c>
      <c r="K222" s="21">
        <v>4</v>
      </c>
      <c r="L222" s="21">
        <v>10</v>
      </c>
      <c r="M222" s="21">
        <v>3</v>
      </c>
      <c r="N222" s="24">
        <v>0</v>
      </c>
      <c r="O222" s="21">
        <v>10</v>
      </c>
      <c r="P222" t="str">
        <f t="shared" si="6"/>
        <v>Older Adults</v>
      </c>
      <c r="Q222" t="str">
        <f t="shared" si="7"/>
        <v>High</v>
      </c>
      <c r="R222" t="str">
        <f>IF(OR(AND(Table1[[#This Row],[Diagnosis]]="Labour Complication",Table1[[#This Row],[Gender]]="M"), AND(Table1[[#This Row],[Diagnosis]]="Labour Complication",Table1[[#This Row],[Age]]&lt;15)),"Error","OK")</f>
        <v>OK</v>
      </c>
      <c r="S222" s="4">
        <f>Table1[[#This Row],[Bill_Amount]]+Table1[[#This Row],[Surgery_Cost]]</f>
        <v>166155</v>
      </c>
    </row>
    <row r="223" spans="1:19" x14ac:dyDescent="0.35">
      <c r="A223" s="16" t="s">
        <v>251</v>
      </c>
      <c r="B223" s="17" t="s">
        <v>751</v>
      </c>
      <c r="C223" s="18">
        <v>8</v>
      </c>
      <c r="D223" s="17" t="s">
        <v>1058</v>
      </c>
      <c r="E223" s="17" t="s">
        <v>1020</v>
      </c>
      <c r="F223" s="17" t="s">
        <v>1027</v>
      </c>
      <c r="G223" s="17" t="s">
        <v>1034</v>
      </c>
      <c r="H223" s="30">
        <v>45802</v>
      </c>
      <c r="I223" s="30">
        <v>45814</v>
      </c>
      <c r="J223" s="25">
        <v>66331</v>
      </c>
      <c r="K223" s="18">
        <v>4</v>
      </c>
      <c r="L223" s="18">
        <v>14</v>
      </c>
      <c r="M223" s="18">
        <v>3</v>
      </c>
      <c r="N223" s="25">
        <v>0</v>
      </c>
      <c r="O223" s="18">
        <v>12</v>
      </c>
      <c r="P223" t="str">
        <f t="shared" si="6"/>
        <v>Children</v>
      </c>
      <c r="Q223" t="str">
        <f t="shared" si="7"/>
        <v>Low</v>
      </c>
      <c r="R223" t="str">
        <f>IF(OR(AND(Table1[[#This Row],[Diagnosis]]="Labour Complication",Table1[[#This Row],[Gender]]="M"), AND(Table1[[#This Row],[Diagnosis]]="Labour Complication",Table1[[#This Row],[Age]]&lt;15)),"Error","OK")</f>
        <v>OK</v>
      </c>
      <c r="S223" s="4">
        <f>Table1[[#This Row],[Bill_Amount]]+Table1[[#This Row],[Surgery_Cost]]</f>
        <v>66331</v>
      </c>
    </row>
    <row r="224" spans="1:19" x14ac:dyDescent="0.35">
      <c r="A224" s="19" t="s">
        <v>252</v>
      </c>
      <c r="B224" s="20" t="s">
        <v>752</v>
      </c>
      <c r="C224" s="21">
        <v>63</v>
      </c>
      <c r="D224" s="20" t="s">
        <v>1058</v>
      </c>
      <c r="E224" s="20" t="s">
        <v>1020</v>
      </c>
      <c r="F224" s="20" t="s">
        <v>1027</v>
      </c>
      <c r="G224" s="20" t="s">
        <v>1043</v>
      </c>
      <c r="H224" s="29">
        <v>45759</v>
      </c>
      <c r="I224" s="29">
        <v>45771</v>
      </c>
      <c r="J224" s="24">
        <v>106603</v>
      </c>
      <c r="K224" s="21">
        <v>8</v>
      </c>
      <c r="L224" s="21">
        <v>15</v>
      </c>
      <c r="M224" s="21">
        <v>1</v>
      </c>
      <c r="N224" s="24">
        <v>0</v>
      </c>
      <c r="O224" s="21">
        <v>12</v>
      </c>
      <c r="P224" t="str">
        <f t="shared" si="6"/>
        <v>Older Adults</v>
      </c>
      <c r="Q224" t="str">
        <f t="shared" si="7"/>
        <v>Medium</v>
      </c>
      <c r="R224" t="str">
        <f>IF(OR(AND(Table1[[#This Row],[Diagnosis]]="Labour Complication",Table1[[#This Row],[Gender]]="M"), AND(Table1[[#This Row],[Diagnosis]]="Labour Complication",Table1[[#This Row],[Age]]&lt;15)),"Error","OK")</f>
        <v>OK</v>
      </c>
      <c r="S224" s="4">
        <f>Table1[[#This Row],[Bill_Amount]]+Table1[[#This Row],[Surgery_Cost]]</f>
        <v>106603</v>
      </c>
    </row>
    <row r="225" spans="1:19" x14ac:dyDescent="0.35">
      <c r="A225" s="16" t="s">
        <v>253</v>
      </c>
      <c r="B225" s="17" t="s">
        <v>753</v>
      </c>
      <c r="C225" s="18">
        <v>19</v>
      </c>
      <c r="D225" s="17" t="s">
        <v>1057</v>
      </c>
      <c r="E225" s="17" t="s">
        <v>1018</v>
      </c>
      <c r="F225" s="17" t="s">
        <v>1025</v>
      </c>
      <c r="G225" s="17" t="s">
        <v>1044</v>
      </c>
      <c r="H225" s="30">
        <v>45781</v>
      </c>
      <c r="I225" s="30">
        <v>45788</v>
      </c>
      <c r="J225" s="25">
        <v>368923</v>
      </c>
      <c r="K225" s="18">
        <v>9</v>
      </c>
      <c r="L225" s="18">
        <v>12</v>
      </c>
      <c r="M225" s="18">
        <v>4</v>
      </c>
      <c r="N225" s="25">
        <v>0</v>
      </c>
      <c r="O225" s="18">
        <v>7</v>
      </c>
      <c r="P225" t="str">
        <f t="shared" si="6"/>
        <v>Teenagers</v>
      </c>
      <c r="Q225" t="str">
        <f t="shared" si="7"/>
        <v>High</v>
      </c>
      <c r="R225" t="str">
        <f>IF(OR(AND(Table1[[#This Row],[Diagnosis]]="Labour Complication",Table1[[#This Row],[Gender]]="M"), AND(Table1[[#This Row],[Diagnosis]]="Labour Complication",Table1[[#This Row],[Age]]&lt;15)),"Error","OK")</f>
        <v>OK</v>
      </c>
      <c r="S225" s="4">
        <f>Table1[[#This Row],[Bill_Amount]]+Table1[[#This Row],[Surgery_Cost]]</f>
        <v>368923</v>
      </c>
    </row>
    <row r="226" spans="1:19" x14ac:dyDescent="0.35">
      <c r="A226" s="19" t="s">
        <v>254</v>
      </c>
      <c r="B226" s="20" t="s">
        <v>754</v>
      </c>
      <c r="C226" s="21">
        <v>75</v>
      </c>
      <c r="D226" s="20" t="s">
        <v>1058</v>
      </c>
      <c r="E226" s="20" t="s">
        <v>1021</v>
      </c>
      <c r="F226" s="20" t="s">
        <v>1028</v>
      </c>
      <c r="G226" s="20" t="s">
        <v>1036</v>
      </c>
      <c r="H226" s="29">
        <v>45778</v>
      </c>
      <c r="I226" s="29">
        <v>45789</v>
      </c>
      <c r="J226" s="24">
        <v>381914</v>
      </c>
      <c r="K226" s="21">
        <v>7</v>
      </c>
      <c r="L226" s="21">
        <v>6</v>
      </c>
      <c r="M226" s="21">
        <v>1</v>
      </c>
      <c r="N226" s="24">
        <v>189878</v>
      </c>
      <c r="O226" s="21">
        <v>11</v>
      </c>
      <c r="P226" t="str">
        <f t="shared" si="6"/>
        <v>Older Adults</v>
      </c>
      <c r="Q226" t="str">
        <f t="shared" si="7"/>
        <v>High</v>
      </c>
      <c r="R226" t="str">
        <f>IF(OR(AND(Table1[[#This Row],[Diagnosis]]="Labour Complication",Table1[[#This Row],[Gender]]="M"), AND(Table1[[#This Row],[Diagnosis]]="Labour Complication",Table1[[#This Row],[Age]]&lt;15)),"Error","OK")</f>
        <v>OK</v>
      </c>
      <c r="S226" s="4">
        <f>Table1[[#This Row],[Bill_Amount]]+Table1[[#This Row],[Surgery_Cost]]</f>
        <v>571792</v>
      </c>
    </row>
    <row r="227" spans="1:19" x14ac:dyDescent="0.35">
      <c r="A227" s="16" t="s">
        <v>255</v>
      </c>
      <c r="B227" s="17" t="s">
        <v>755</v>
      </c>
      <c r="C227" s="18">
        <v>59</v>
      </c>
      <c r="D227" s="17" t="s">
        <v>1058</v>
      </c>
      <c r="E227" s="17" t="s">
        <v>1019</v>
      </c>
      <c r="F227" s="17" t="s">
        <v>1026</v>
      </c>
      <c r="G227" s="17" t="s">
        <v>1033</v>
      </c>
      <c r="H227" s="30">
        <v>45795</v>
      </c>
      <c r="I227" s="30">
        <v>45805</v>
      </c>
      <c r="J227" s="25">
        <v>204611</v>
      </c>
      <c r="K227" s="18">
        <v>8</v>
      </c>
      <c r="L227" s="18">
        <v>8</v>
      </c>
      <c r="M227" s="18">
        <v>4</v>
      </c>
      <c r="N227" s="25">
        <v>0</v>
      </c>
      <c r="O227" s="18">
        <v>10</v>
      </c>
      <c r="P227" t="str">
        <f t="shared" si="6"/>
        <v>Adults</v>
      </c>
      <c r="Q227" t="str">
        <f t="shared" si="7"/>
        <v>High</v>
      </c>
      <c r="R227" t="str">
        <f>IF(OR(AND(Table1[[#This Row],[Diagnosis]]="Labour Complication",Table1[[#This Row],[Gender]]="M"), AND(Table1[[#This Row],[Diagnosis]]="Labour Complication",Table1[[#This Row],[Age]]&lt;15)),"Error","OK")</f>
        <v>OK</v>
      </c>
      <c r="S227" s="4">
        <f>Table1[[#This Row],[Bill_Amount]]+Table1[[#This Row],[Surgery_Cost]]</f>
        <v>204611</v>
      </c>
    </row>
    <row r="228" spans="1:19" x14ac:dyDescent="0.35">
      <c r="A228" s="19" t="s">
        <v>256</v>
      </c>
      <c r="B228" s="20" t="s">
        <v>756</v>
      </c>
      <c r="C228" s="21">
        <v>84</v>
      </c>
      <c r="D228" s="20" t="s">
        <v>1057</v>
      </c>
      <c r="E228" s="20" t="s">
        <v>1022</v>
      </c>
      <c r="F228" s="20" t="s">
        <v>1029</v>
      </c>
      <c r="G228" s="20" t="s">
        <v>1041</v>
      </c>
      <c r="H228" s="29">
        <v>45775</v>
      </c>
      <c r="I228" s="29">
        <v>45788</v>
      </c>
      <c r="J228" s="24">
        <v>109985</v>
      </c>
      <c r="K228" s="21">
        <v>7</v>
      </c>
      <c r="L228" s="21">
        <v>6</v>
      </c>
      <c r="M228" s="21">
        <v>1</v>
      </c>
      <c r="N228" s="24">
        <v>0</v>
      </c>
      <c r="O228" s="21">
        <v>13</v>
      </c>
      <c r="P228" t="str">
        <f t="shared" si="6"/>
        <v>Older Adults</v>
      </c>
      <c r="Q228" t="str">
        <f t="shared" si="7"/>
        <v>Medium</v>
      </c>
      <c r="R228" t="str">
        <f>IF(OR(AND(Table1[[#This Row],[Diagnosis]]="Labour Complication",Table1[[#This Row],[Gender]]="M"), AND(Table1[[#This Row],[Diagnosis]]="Labour Complication",Table1[[#This Row],[Age]]&lt;15)),"Error","OK")</f>
        <v>OK</v>
      </c>
      <c r="S228" s="4">
        <f>Table1[[#This Row],[Bill_Amount]]+Table1[[#This Row],[Surgery_Cost]]</f>
        <v>109985</v>
      </c>
    </row>
    <row r="229" spans="1:19" x14ac:dyDescent="0.35">
      <c r="A229" s="16" t="s">
        <v>257</v>
      </c>
      <c r="B229" s="17" t="s">
        <v>757</v>
      </c>
      <c r="C229" s="18">
        <v>44</v>
      </c>
      <c r="D229" s="17" t="s">
        <v>1058</v>
      </c>
      <c r="E229" s="17" t="s">
        <v>1020</v>
      </c>
      <c r="F229" s="17" t="s">
        <v>1027</v>
      </c>
      <c r="G229" s="17" t="s">
        <v>1034</v>
      </c>
      <c r="H229" s="30">
        <v>45767</v>
      </c>
      <c r="I229" s="30">
        <v>45772</v>
      </c>
      <c r="J229" s="25">
        <v>266957</v>
      </c>
      <c r="K229" s="18">
        <v>2</v>
      </c>
      <c r="L229" s="18">
        <v>7</v>
      </c>
      <c r="M229" s="18">
        <v>2</v>
      </c>
      <c r="N229" s="25">
        <v>0</v>
      </c>
      <c r="O229" s="18">
        <v>5</v>
      </c>
      <c r="P229" t="str">
        <f t="shared" si="6"/>
        <v>Adults</v>
      </c>
      <c r="Q229" t="str">
        <f t="shared" si="7"/>
        <v>High</v>
      </c>
      <c r="R229" t="str">
        <f>IF(OR(AND(Table1[[#This Row],[Diagnosis]]="Labour Complication",Table1[[#This Row],[Gender]]="M"), AND(Table1[[#This Row],[Diagnosis]]="Labour Complication",Table1[[#This Row],[Age]]&lt;15)),"Error","OK")</f>
        <v>OK</v>
      </c>
      <c r="S229" s="4">
        <f>Table1[[#This Row],[Bill_Amount]]+Table1[[#This Row],[Surgery_Cost]]</f>
        <v>266957</v>
      </c>
    </row>
    <row r="230" spans="1:19" x14ac:dyDescent="0.35">
      <c r="A230" s="19" t="s">
        <v>258</v>
      </c>
      <c r="B230" s="20" t="s">
        <v>758</v>
      </c>
      <c r="C230" s="21">
        <v>41</v>
      </c>
      <c r="D230" s="20" t="s">
        <v>1058</v>
      </c>
      <c r="E230" s="20" t="s">
        <v>1020</v>
      </c>
      <c r="F230" s="20" t="s">
        <v>1027</v>
      </c>
      <c r="G230" s="20" t="s">
        <v>1034</v>
      </c>
      <c r="H230" s="29">
        <v>45767</v>
      </c>
      <c r="I230" s="29">
        <v>45780</v>
      </c>
      <c r="J230" s="24">
        <v>99852</v>
      </c>
      <c r="K230" s="21">
        <v>8</v>
      </c>
      <c r="L230" s="21">
        <v>6</v>
      </c>
      <c r="M230" s="21">
        <v>2</v>
      </c>
      <c r="N230" s="24">
        <v>0</v>
      </c>
      <c r="O230" s="21">
        <v>13</v>
      </c>
      <c r="P230" t="str">
        <f t="shared" si="6"/>
        <v>Adults</v>
      </c>
      <c r="Q230" t="str">
        <f t="shared" si="7"/>
        <v>Low</v>
      </c>
      <c r="R230" t="str">
        <f>IF(OR(AND(Table1[[#This Row],[Diagnosis]]="Labour Complication",Table1[[#This Row],[Gender]]="M"), AND(Table1[[#This Row],[Diagnosis]]="Labour Complication",Table1[[#This Row],[Age]]&lt;15)),"Error","OK")</f>
        <v>OK</v>
      </c>
      <c r="S230" s="4">
        <f>Table1[[#This Row],[Bill_Amount]]+Table1[[#This Row],[Surgery_Cost]]</f>
        <v>99852</v>
      </c>
    </row>
    <row r="231" spans="1:19" x14ac:dyDescent="0.35">
      <c r="A231" s="16" t="s">
        <v>259</v>
      </c>
      <c r="B231" s="17" t="s">
        <v>759</v>
      </c>
      <c r="C231" s="18">
        <v>20</v>
      </c>
      <c r="D231" s="17" t="s">
        <v>1058</v>
      </c>
      <c r="E231" s="17" t="s">
        <v>1016</v>
      </c>
      <c r="F231" s="17" t="s">
        <v>1023</v>
      </c>
      <c r="G231" s="17" t="s">
        <v>1030</v>
      </c>
      <c r="H231" s="30">
        <v>45802</v>
      </c>
      <c r="I231" s="30">
        <v>45808</v>
      </c>
      <c r="J231" s="25">
        <v>246241</v>
      </c>
      <c r="K231" s="18">
        <v>8</v>
      </c>
      <c r="L231" s="18">
        <v>11</v>
      </c>
      <c r="M231" s="18">
        <v>1</v>
      </c>
      <c r="N231" s="25">
        <v>0</v>
      </c>
      <c r="O231" s="18">
        <v>6</v>
      </c>
      <c r="P231" t="str">
        <f t="shared" si="6"/>
        <v>Adults</v>
      </c>
      <c r="Q231" t="str">
        <f t="shared" si="7"/>
        <v>High</v>
      </c>
      <c r="R231" t="str">
        <f>IF(OR(AND(Table1[[#This Row],[Diagnosis]]="Labour Complication",Table1[[#This Row],[Gender]]="M"), AND(Table1[[#This Row],[Diagnosis]]="Labour Complication",Table1[[#This Row],[Age]]&lt;15)),"Error","OK")</f>
        <v>OK</v>
      </c>
      <c r="S231" s="4">
        <f>Table1[[#This Row],[Bill_Amount]]+Table1[[#This Row],[Surgery_Cost]]</f>
        <v>246241</v>
      </c>
    </row>
    <row r="232" spans="1:19" x14ac:dyDescent="0.35">
      <c r="A232" s="19" t="s">
        <v>260</v>
      </c>
      <c r="B232" s="20" t="s">
        <v>760</v>
      </c>
      <c r="C232" s="21">
        <v>12</v>
      </c>
      <c r="D232" s="20" t="s">
        <v>1058</v>
      </c>
      <c r="E232" s="20" t="s">
        <v>1018</v>
      </c>
      <c r="F232" s="20" t="s">
        <v>1025</v>
      </c>
      <c r="G232" s="20" t="s">
        <v>1044</v>
      </c>
      <c r="H232" s="29">
        <v>45799</v>
      </c>
      <c r="I232" s="29">
        <v>45814</v>
      </c>
      <c r="J232" s="24">
        <v>94755</v>
      </c>
      <c r="K232" s="21">
        <v>1</v>
      </c>
      <c r="L232" s="21">
        <v>5</v>
      </c>
      <c r="M232" s="21">
        <v>3</v>
      </c>
      <c r="N232" s="24">
        <v>0</v>
      </c>
      <c r="O232" s="21">
        <v>15</v>
      </c>
      <c r="P232" t="str">
        <f t="shared" si="6"/>
        <v>Children</v>
      </c>
      <c r="Q232" t="str">
        <f t="shared" si="7"/>
        <v>Low</v>
      </c>
      <c r="R232" t="str">
        <f>IF(OR(AND(Table1[[#This Row],[Diagnosis]]="Labour Complication",Table1[[#This Row],[Gender]]="M"), AND(Table1[[#This Row],[Diagnosis]]="Labour Complication",Table1[[#This Row],[Age]]&lt;15)),"Error","OK")</f>
        <v>OK</v>
      </c>
      <c r="S232" s="4">
        <f>Table1[[#This Row],[Bill_Amount]]+Table1[[#This Row],[Surgery_Cost]]</f>
        <v>94755</v>
      </c>
    </row>
    <row r="233" spans="1:19" x14ac:dyDescent="0.35">
      <c r="A233" s="16" t="s">
        <v>261</v>
      </c>
      <c r="B233" s="17" t="s">
        <v>761</v>
      </c>
      <c r="C233" s="18">
        <v>17</v>
      </c>
      <c r="D233" s="17" t="s">
        <v>1057</v>
      </c>
      <c r="E233" s="17" t="s">
        <v>1016</v>
      </c>
      <c r="F233" s="17" t="s">
        <v>1023</v>
      </c>
      <c r="G233" s="17" t="s">
        <v>1040</v>
      </c>
      <c r="H233" s="30">
        <v>45797</v>
      </c>
      <c r="I233" s="30">
        <v>45810</v>
      </c>
      <c r="J233" s="25">
        <v>245374</v>
      </c>
      <c r="K233" s="18">
        <v>7</v>
      </c>
      <c r="L233" s="18">
        <v>1</v>
      </c>
      <c r="M233" s="18">
        <v>4</v>
      </c>
      <c r="N233" s="25">
        <v>0</v>
      </c>
      <c r="O233" s="18">
        <v>13</v>
      </c>
      <c r="P233" t="str">
        <f t="shared" si="6"/>
        <v>Teenagers</v>
      </c>
      <c r="Q233" t="str">
        <f t="shared" si="7"/>
        <v>High</v>
      </c>
      <c r="R233" t="str">
        <f>IF(OR(AND(Table1[[#This Row],[Diagnosis]]="Labour Complication",Table1[[#This Row],[Gender]]="M"), AND(Table1[[#This Row],[Diagnosis]]="Labour Complication",Table1[[#This Row],[Age]]&lt;15)),"Error","OK")</f>
        <v>OK</v>
      </c>
      <c r="S233" s="4">
        <f>Table1[[#This Row],[Bill_Amount]]+Table1[[#This Row],[Surgery_Cost]]</f>
        <v>245374</v>
      </c>
    </row>
    <row r="234" spans="1:19" x14ac:dyDescent="0.35">
      <c r="A234" s="19" t="s">
        <v>262</v>
      </c>
      <c r="B234" s="20" t="s">
        <v>762</v>
      </c>
      <c r="C234" s="21">
        <v>46</v>
      </c>
      <c r="D234" s="20" t="s">
        <v>1058</v>
      </c>
      <c r="E234" s="20" t="s">
        <v>1016</v>
      </c>
      <c r="F234" s="20" t="s">
        <v>1023</v>
      </c>
      <c r="G234" s="20" t="s">
        <v>1030</v>
      </c>
      <c r="H234" s="29">
        <v>45802</v>
      </c>
      <c r="I234" s="29">
        <v>45805</v>
      </c>
      <c r="J234" s="24">
        <v>265382</v>
      </c>
      <c r="K234" s="21">
        <v>5</v>
      </c>
      <c r="L234" s="21">
        <v>10</v>
      </c>
      <c r="M234" s="21">
        <v>3</v>
      </c>
      <c r="N234" s="24">
        <v>0</v>
      </c>
      <c r="O234" s="21">
        <v>3</v>
      </c>
      <c r="P234" t="str">
        <f t="shared" si="6"/>
        <v>Adults</v>
      </c>
      <c r="Q234" t="str">
        <f t="shared" si="7"/>
        <v>High</v>
      </c>
      <c r="R234" t="str">
        <f>IF(OR(AND(Table1[[#This Row],[Diagnosis]]="Labour Complication",Table1[[#This Row],[Gender]]="M"), AND(Table1[[#This Row],[Diagnosis]]="Labour Complication",Table1[[#This Row],[Age]]&lt;15)),"Error","OK")</f>
        <v>OK</v>
      </c>
      <c r="S234" s="4">
        <f>Table1[[#This Row],[Bill_Amount]]+Table1[[#This Row],[Surgery_Cost]]</f>
        <v>265382</v>
      </c>
    </row>
    <row r="235" spans="1:19" x14ac:dyDescent="0.35">
      <c r="A235" s="16" t="s">
        <v>263</v>
      </c>
      <c r="B235" s="17" t="s">
        <v>763</v>
      </c>
      <c r="C235" s="18">
        <v>46</v>
      </c>
      <c r="D235" s="17" t="s">
        <v>1057</v>
      </c>
      <c r="E235" s="17" t="s">
        <v>1021</v>
      </c>
      <c r="F235" s="17" t="s">
        <v>1028</v>
      </c>
      <c r="G235" s="17" t="s">
        <v>1035</v>
      </c>
      <c r="H235" s="30">
        <v>45762</v>
      </c>
      <c r="I235" s="30">
        <v>45773</v>
      </c>
      <c r="J235" s="25">
        <v>213813</v>
      </c>
      <c r="K235" s="18">
        <v>9</v>
      </c>
      <c r="L235" s="18">
        <v>6</v>
      </c>
      <c r="M235" s="18">
        <v>1</v>
      </c>
      <c r="N235" s="25">
        <v>184007</v>
      </c>
      <c r="O235" s="18">
        <v>11</v>
      </c>
      <c r="P235" t="str">
        <f t="shared" si="6"/>
        <v>Adults</v>
      </c>
      <c r="Q235" t="str">
        <f t="shared" si="7"/>
        <v>High</v>
      </c>
      <c r="R235" t="str">
        <f>IF(OR(AND(Table1[[#This Row],[Diagnosis]]="Labour Complication",Table1[[#This Row],[Gender]]="M"), AND(Table1[[#This Row],[Diagnosis]]="Labour Complication",Table1[[#This Row],[Age]]&lt;15)),"Error","OK")</f>
        <v>OK</v>
      </c>
      <c r="S235" s="4">
        <f>Table1[[#This Row],[Bill_Amount]]+Table1[[#This Row],[Surgery_Cost]]</f>
        <v>397820</v>
      </c>
    </row>
    <row r="236" spans="1:19" x14ac:dyDescent="0.35">
      <c r="A236" s="16" t="s">
        <v>265</v>
      </c>
      <c r="B236" s="17" t="s">
        <v>765</v>
      </c>
      <c r="C236" s="18">
        <v>15</v>
      </c>
      <c r="D236" s="17" t="s">
        <v>1058</v>
      </c>
      <c r="E236" s="17" t="s">
        <v>1022</v>
      </c>
      <c r="F236" s="17" t="s">
        <v>1029</v>
      </c>
      <c r="G236" s="17" t="s">
        <v>1039</v>
      </c>
      <c r="H236" s="30">
        <v>45788</v>
      </c>
      <c r="I236" s="30">
        <v>45798</v>
      </c>
      <c r="J236" s="25">
        <v>242707</v>
      </c>
      <c r="K236" s="18">
        <v>5</v>
      </c>
      <c r="L236" s="18">
        <v>1</v>
      </c>
      <c r="M236" s="18">
        <v>2</v>
      </c>
      <c r="N236" s="25">
        <v>0</v>
      </c>
      <c r="O236" s="18">
        <v>10</v>
      </c>
      <c r="P236" t="str">
        <f t="shared" si="6"/>
        <v>Teenagers</v>
      </c>
      <c r="Q236" t="str">
        <f t="shared" si="7"/>
        <v>High</v>
      </c>
      <c r="R236" t="str">
        <f>IF(OR(AND(Table1[[#This Row],[Diagnosis]]="Labour Complication",Table1[[#This Row],[Gender]]="M"), AND(Table1[[#This Row],[Diagnosis]]="Labour Complication",Table1[[#This Row],[Age]]&lt;15)),"Error","OK")</f>
        <v>OK</v>
      </c>
      <c r="S236" s="4">
        <f>Table1[[#This Row],[Bill_Amount]]+Table1[[#This Row],[Surgery_Cost]]</f>
        <v>242707</v>
      </c>
    </row>
    <row r="237" spans="1:19" x14ac:dyDescent="0.35">
      <c r="A237" s="19" t="s">
        <v>266</v>
      </c>
      <c r="B237" s="20" t="s">
        <v>766</v>
      </c>
      <c r="C237" s="21">
        <v>72</v>
      </c>
      <c r="D237" s="20" t="s">
        <v>1057</v>
      </c>
      <c r="E237" s="20" t="s">
        <v>1022</v>
      </c>
      <c r="F237" s="20" t="s">
        <v>1029</v>
      </c>
      <c r="G237" s="20" t="s">
        <v>1041</v>
      </c>
      <c r="H237" s="29">
        <v>45759</v>
      </c>
      <c r="I237" s="29">
        <v>45767</v>
      </c>
      <c r="J237" s="24">
        <v>493104</v>
      </c>
      <c r="K237" s="21">
        <v>2</v>
      </c>
      <c r="L237" s="21">
        <v>17</v>
      </c>
      <c r="M237" s="21">
        <v>2</v>
      </c>
      <c r="N237" s="24">
        <v>0</v>
      </c>
      <c r="O237" s="21">
        <v>8</v>
      </c>
      <c r="P237" t="str">
        <f t="shared" si="6"/>
        <v>Older Adults</v>
      </c>
      <c r="Q237" t="str">
        <f t="shared" si="7"/>
        <v>High</v>
      </c>
      <c r="R237" t="str">
        <f>IF(OR(AND(Table1[[#This Row],[Diagnosis]]="Labour Complication",Table1[[#This Row],[Gender]]="M"), AND(Table1[[#This Row],[Diagnosis]]="Labour Complication",Table1[[#This Row],[Age]]&lt;15)),"Error","OK")</f>
        <v>OK</v>
      </c>
      <c r="S237" s="4">
        <f>Table1[[#This Row],[Bill_Amount]]+Table1[[#This Row],[Surgery_Cost]]</f>
        <v>493104</v>
      </c>
    </row>
    <row r="238" spans="1:19" x14ac:dyDescent="0.35">
      <c r="A238" s="16" t="s">
        <v>267</v>
      </c>
      <c r="B238" s="17" t="s">
        <v>767</v>
      </c>
      <c r="C238" s="18">
        <v>90</v>
      </c>
      <c r="D238" s="17" t="s">
        <v>1058</v>
      </c>
      <c r="E238" s="17" t="s">
        <v>1018</v>
      </c>
      <c r="F238" s="17" t="s">
        <v>1025</v>
      </c>
      <c r="G238" s="17" t="s">
        <v>1037</v>
      </c>
      <c r="H238" s="30">
        <v>45782</v>
      </c>
      <c r="I238" s="30">
        <v>45786</v>
      </c>
      <c r="J238" s="25">
        <v>193272</v>
      </c>
      <c r="K238" s="18">
        <v>3</v>
      </c>
      <c r="L238" s="18">
        <v>4</v>
      </c>
      <c r="M238" s="18">
        <v>4</v>
      </c>
      <c r="N238" s="25">
        <v>0</v>
      </c>
      <c r="O238" s="18">
        <v>4</v>
      </c>
      <c r="P238" t="str">
        <f t="shared" si="6"/>
        <v>Older Adults</v>
      </c>
      <c r="Q238" t="str">
        <f t="shared" si="7"/>
        <v>High</v>
      </c>
      <c r="R238" t="str">
        <f>IF(OR(AND(Table1[[#This Row],[Diagnosis]]="Labour Complication",Table1[[#This Row],[Gender]]="M"), AND(Table1[[#This Row],[Diagnosis]]="Labour Complication",Table1[[#This Row],[Age]]&lt;15)),"Error","OK")</f>
        <v>OK</v>
      </c>
      <c r="S238" s="4">
        <f>Table1[[#This Row],[Bill_Amount]]+Table1[[#This Row],[Surgery_Cost]]</f>
        <v>193272</v>
      </c>
    </row>
    <row r="239" spans="1:19" x14ac:dyDescent="0.35">
      <c r="A239" s="19" t="s">
        <v>268</v>
      </c>
      <c r="B239" s="20" t="s">
        <v>768</v>
      </c>
      <c r="C239" s="21">
        <v>19</v>
      </c>
      <c r="D239" s="20" t="s">
        <v>1058</v>
      </c>
      <c r="E239" s="20" t="s">
        <v>1021</v>
      </c>
      <c r="F239" s="20" t="s">
        <v>1028</v>
      </c>
      <c r="G239" s="20" t="s">
        <v>1035</v>
      </c>
      <c r="H239" s="29">
        <v>45802</v>
      </c>
      <c r="I239" s="29">
        <v>45804</v>
      </c>
      <c r="J239" s="24">
        <v>145108</v>
      </c>
      <c r="K239" s="21">
        <v>4</v>
      </c>
      <c r="L239" s="21">
        <v>12</v>
      </c>
      <c r="M239" s="21">
        <v>3</v>
      </c>
      <c r="N239" s="24">
        <v>238719</v>
      </c>
      <c r="O239" s="21">
        <v>2</v>
      </c>
      <c r="P239" t="str">
        <f t="shared" si="6"/>
        <v>Teenagers</v>
      </c>
      <c r="Q239" t="str">
        <f t="shared" si="7"/>
        <v>Medium</v>
      </c>
      <c r="R239" t="str">
        <f>IF(OR(AND(Table1[[#This Row],[Diagnosis]]="Labour Complication",Table1[[#This Row],[Gender]]="M"), AND(Table1[[#This Row],[Diagnosis]]="Labour Complication",Table1[[#This Row],[Age]]&lt;15)),"Error","OK")</f>
        <v>OK</v>
      </c>
      <c r="S239" s="4">
        <f>Table1[[#This Row],[Bill_Amount]]+Table1[[#This Row],[Surgery_Cost]]</f>
        <v>383827</v>
      </c>
    </row>
    <row r="240" spans="1:19" x14ac:dyDescent="0.35">
      <c r="A240" s="16" t="s">
        <v>269</v>
      </c>
      <c r="B240" s="17" t="s">
        <v>769</v>
      </c>
      <c r="C240" s="18">
        <v>4</v>
      </c>
      <c r="D240" s="17" t="s">
        <v>1057</v>
      </c>
      <c r="E240" s="17" t="s">
        <v>1017</v>
      </c>
      <c r="F240" s="17" t="s">
        <v>1024</v>
      </c>
      <c r="G240" s="17" t="s">
        <v>1042</v>
      </c>
      <c r="H240" s="30">
        <v>45764</v>
      </c>
      <c r="I240" s="30">
        <v>45777</v>
      </c>
      <c r="J240" s="25">
        <v>381964</v>
      </c>
      <c r="K240" s="18">
        <v>5</v>
      </c>
      <c r="L240" s="18">
        <v>9</v>
      </c>
      <c r="M240" s="18">
        <v>1</v>
      </c>
      <c r="N240" s="25">
        <v>0</v>
      </c>
      <c r="O240" s="18">
        <v>13</v>
      </c>
      <c r="P240" t="str">
        <f t="shared" si="6"/>
        <v>Children</v>
      </c>
      <c r="Q240" t="str">
        <f t="shared" si="7"/>
        <v>High</v>
      </c>
      <c r="R240" t="str">
        <f>IF(OR(AND(Table1[[#This Row],[Diagnosis]]="Labour Complication",Table1[[#This Row],[Gender]]="M"), AND(Table1[[#This Row],[Diagnosis]]="Labour Complication",Table1[[#This Row],[Age]]&lt;15)),"Error","OK")</f>
        <v>OK</v>
      </c>
      <c r="S240" s="4">
        <f>Table1[[#This Row],[Bill_Amount]]+Table1[[#This Row],[Surgery_Cost]]</f>
        <v>381964</v>
      </c>
    </row>
    <row r="241" spans="1:19" x14ac:dyDescent="0.35">
      <c r="A241" s="19" t="s">
        <v>270</v>
      </c>
      <c r="B241" s="20" t="s">
        <v>770</v>
      </c>
      <c r="C241" s="21">
        <v>44</v>
      </c>
      <c r="D241" s="20" t="s">
        <v>1057</v>
      </c>
      <c r="E241" s="20" t="s">
        <v>1020</v>
      </c>
      <c r="F241" s="20" t="s">
        <v>1027</v>
      </c>
      <c r="G241" s="20" t="s">
        <v>1034</v>
      </c>
      <c r="H241" s="29">
        <v>45757</v>
      </c>
      <c r="I241" s="29">
        <v>45765</v>
      </c>
      <c r="J241" s="24">
        <v>287841</v>
      </c>
      <c r="K241" s="21">
        <v>1</v>
      </c>
      <c r="L241" s="21">
        <v>5</v>
      </c>
      <c r="M241" s="21">
        <v>2</v>
      </c>
      <c r="N241" s="24">
        <v>0</v>
      </c>
      <c r="O241" s="21">
        <v>8</v>
      </c>
      <c r="P241" t="str">
        <f t="shared" si="6"/>
        <v>Adults</v>
      </c>
      <c r="Q241" t="str">
        <f t="shared" si="7"/>
        <v>High</v>
      </c>
      <c r="R241" t="str">
        <f>IF(OR(AND(Table1[[#This Row],[Diagnosis]]="Labour Complication",Table1[[#This Row],[Gender]]="M"), AND(Table1[[#This Row],[Diagnosis]]="Labour Complication",Table1[[#This Row],[Age]]&lt;15)),"Error","OK")</f>
        <v>OK</v>
      </c>
      <c r="S241" s="4">
        <f>Table1[[#This Row],[Bill_Amount]]+Table1[[#This Row],[Surgery_Cost]]</f>
        <v>287841</v>
      </c>
    </row>
    <row r="242" spans="1:19" x14ac:dyDescent="0.35">
      <c r="A242" s="16" t="s">
        <v>271</v>
      </c>
      <c r="B242" s="17" t="s">
        <v>771</v>
      </c>
      <c r="C242" s="18">
        <v>73</v>
      </c>
      <c r="D242" s="17" t="s">
        <v>1057</v>
      </c>
      <c r="E242" s="17" t="s">
        <v>1021</v>
      </c>
      <c r="F242" s="17" t="s">
        <v>1028</v>
      </c>
      <c r="G242" s="17" t="s">
        <v>1035</v>
      </c>
      <c r="H242" s="30">
        <v>45755</v>
      </c>
      <c r="I242" s="30">
        <v>45768</v>
      </c>
      <c r="J242" s="25">
        <v>220070</v>
      </c>
      <c r="K242" s="18">
        <v>3</v>
      </c>
      <c r="L242" s="18">
        <v>12</v>
      </c>
      <c r="M242" s="18">
        <v>3</v>
      </c>
      <c r="N242" s="25">
        <v>209260</v>
      </c>
      <c r="O242" s="18">
        <v>13</v>
      </c>
      <c r="P242" t="str">
        <f t="shared" si="6"/>
        <v>Older Adults</v>
      </c>
      <c r="Q242" t="str">
        <f t="shared" si="7"/>
        <v>High</v>
      </c>
      <c r="R242" t="str">
        <f>IF(OR(AND(Table1[[#This Row],[Diagnosis]]="Labour Complication",Table1[[#This Row],[Gender]]="M"), AND(Table1[[#This Row],[Diagnosis]]="Labour Complication",Table1[[#This Row],[Age]]&lt;15)),"Error","OK")</f>
        <v>OK</v>
      </c>
      <c r="S242" s="4">
        <f>Table1[[#This Row],[Bill_Amount]]+Table1[[#This Row],[Surgery_Cost]]</f>
        <v>429330</v>
      </c>
    </row>
    <row r="243" spans="1:19" x14ac:dyDescent="0.35">
      <c r="A243" s="19" t="s">
        <v>272</v>
      </c>
      <c r="B243" s="20" t="s">
        <v>772</v>
      </c>
      <c r="C243" s="21">
        <v>80</v>
      </c>
      <c r="D243" s="20" t="s">
        <v>1057</v>
      </c>
      <c r="E243" s="20" t="s">
        <v>1017</v>
      </c>
      <c r="F243" s="20" t="s">
        <v>1024</v>
      </c>
      <c r="G243" s="20" t="s">
        <v>1042</v>
      </c>
      <c r="H243" s="29">
        <v>45792</v>
      </c>
      <c r="I243" s="29">
        <v>45796</v>
      </c>
      <c r="J243" s="24">
        <v>445541</v>
      </c>
      <c r="K243" s="21">
        <v>6</v>
      </c>
      <c r="L243" s="21">
        <v>7</v>
      </c>
      <c r="M243" s="21">
        <v>3</v>
      </c>
      <c r="N243" s="24">
        <v>0</v>
      </c>
      <c r="O243" s="21">
        <v>4</v>
      </c>
      <c r="P243" t="str">
        <f t="shared" si="6"/>
        <v>Older Adults</v>
      </c>
      <c r="Q243" t="str">
        <f t="shared" si="7"/>
        <v>High</v>
      </c>
      <c r="R243" t="str">
        <f>IF(OR(AND(Table1[[#This Row],[Diagnosis]]="Labour Complication",Table1[[#This Row],[Gender]]="M"), AND(Table1[[#This Row],[Diagnosis]]="Labour Complication",Table1[[#This Row],[Age]]&lt;15)),"Error","OK")</f>
        <v>OK</v>
      </c>
      <c r="S243" s="4">
        <f>Table1[[#This Row],[Bill_Amount]]+Table1[[#This Row],[Surgery_Cost]]</f>
        <v>445541</v>
      </c>
    </row>
    <row r="244" spans="1:19" x14ac:dyDescent="0.35">
      <c r="A244" s="16" t="s">
        <v>273</v>
      </c>
      <c r="B244" s="17" t="s">
        <v>773</v>
      </c>
      <c r="C244" s="18">
        <v>55</v>
      </c>
      <c r="D244" s="17" t="s">
        <v>1058</v>
      </c>
      <c r="E244" s="17" t="s">
        <v>1021</v>
      </c>
      <c r="F244" s="17" t="s">
        <v>1028</v>
      </c>
      <c r="G244" s="17" t="s">
        <v>1036</v>
      </c>
      <c r="H244" s="30">
        <v>45783</v>
      </c>
      <c r="I244" s="30">
        <v>45792</v>
      </c>
      <c r="J244" s="25">
        <v>397046</v>
      </c>
      <c r="K244" s="18">
        <v>3</v>
      </c>
      <c r="L244" s="18">
        <v>8</v>
      </c>
      <c r="M244" s="18">
        <v>2</v>
      </c>
      <c r="N244" s="25">
        <v>176295</v>
      </c>
      <c r="O244" s="18">
        <v>9</v>
      </c>
      <c r="P244" t="str">
        <f t="shared" si="6"/>
        <v>Adults</v>
      </c>
      <c r="Q244" t="str">
        <f t="shared" si="7"/>
        <v>High</v>
      </c>
      <c r="R244" t="str">
        <f>IF(OR(AND(Table1[[#This Row],[Diagnosis]]="Labour Complication",Table1[[#This Row],[Gender]]="M"), AND(Table1[[#This Row],[Diagnosis]]="Labour Complication",Table1[[#This Row],[Age]]&lt;15)),"Error","OK")</f>
        <v>OK</v>
      </c>
      <c r="S244" s="4">
        <f>Table1[[#This Row],[Bill_Amount]]+Table1[[#This Row],[Surgery_Cost]]</f>
        <v>573341</v>
      </c>
    </row>
    <row r="245" spans="1:19" x14ac:dyDescent="0.35">
      <c r="A245" s="19" t="s">
        <v>274</v>
      </c>
      <c r="B245" s="20" t="s">
        <v>774</v>
      </c>
      <c r="C245" s="21">
        <v>66</v>
      </c>
      <c r="D245" s="20" t="s">
        <v>1057</v>
      </c>
      <c r="E245" s="20" t="s">
        <v>1020</v>
      </c>
      <c r="F245" s="20" t="s">
        <v>1027</v>
      </c>
      <c r="G245" s="20" t="s">
        <v>1034</v>
      </c>
      <c r="H245" s="29">
        <v>45798</v>
      </c>
      <c r="I245" s="29">
        <v>45804</v>
      </c>
      <c r="J245" s="24">
        <v>163020</v>
      </c>
      <c r="K245" s="21">
        <v>8</v>
      </c>
      <c r="L245" s="21">
        <v>7</v>
      </c>
      <c r="M245" s="21">
        <v>1</v>
      </c>
      <c r="N245" s="24">
        <v>0</v>
      </c>
      <c r="O245" s="21">
        <v>6</v>
      </c>
      <c r="P245" t="str">
        <f t="shared" si="6"/>
        <v>Older Adults</v>
      </c>
      <c r="Q245" t="str">
        <f t="shared" si="7"/>
        <v>High</v>
      </c>
      <c r="R245" t="str">
        <f>IF(OR(AND(Table1[[#This Row],[Diagnosis]]="Labour Complication",Table1[[#This Row],[Gender]]="M"), AND(Table1[[#This Row],[Diagnosis]]="Labour Complication",Table1[[#This Row],[Age]]&lt;15)),"Error","OK")</f>
        <v>OK</v>
      </c>
      <c r="S245" s="4">
        <f>Table1[[#This Row],[Bill_Amount]]+Table1[[#This Row],[Surgery_Cost]]</f>
        <v>163020</v>
      </c>
    </row>
    <row r="246" spans="1:19" x14ac:dyDescent="0.35">
      <c r="A246" s="16" t="s">
        <v>275</v>
      </c>
      <c r="B246" s="17" t="s">
        <v>775</v>
      </c>
      <c r="C246" s="18">
        <v>87</v>
      </c>
      <c r="D246" s="17" t="s">
        <v>1058</v>
      </c>
      <c r="E246" s="17" t="s">
        <v>1020</v>
      </c>
      <c r="F246" s="17" t="s">
        <v>1027</v>
      </c>
      <c r="G246" s="17" t="s">
        <v>1034</v>
      </c>
      <c r="H246" s="30">
        <v>45774</v>
      </c>
      <c r="I246" s="30">
        <v>45777</v>
      </c>
      <c r="J246" s="25">
        <v>198502</v>
      </c>
      <c r="K246" s="18">
        <v>7</v>
      </c>
      <c r="L246" s="18">
        <v>11</v>
      </c>
      <c r="M246" s="18">
        <v>4</v>
      </c>
      <c r="N246" s="25">
        <v>0</v>
      </c>
      <c r="O246" s="18">
        <v>3</v>
      </c>
      <c r="P246" t="str">
        <f t="shared" si="6"/>
        <v>Older Adults</v>
      </c>
      <c r="Q246" t="str">
        <f t="shared" si="7"/>
        <v>High</v>
      </c>
      <c r="R246" t="str">
        <f>IF(OR(AND(Table1[[#This Row],[Diagnosis]]="Labour Complication",Table1[[#This Row],[Gender]]="M"), AND(Table1[[#This Row],[Diagnosis]]="Labour Complication",Table1[[#This Row],[Age]]&lt;15)),"Error","OK")</f>
        <v>OK</v>
      </c>
      <c r="S246" s="4">
        <f>Table1[[#This Row],[Bill_Amount]]+Table1[[#This Row],[Surgery_Cost]]</f>
        <v>198502</v>
      </c>
    </row>
    <row r="247" spans="1:19" x14ac:dyDescent="0.35">
      <c r="A247" s="19" t="s">
        <v>276</v>
      </c>
      <c r="B247" s="20" t="s">
        <v>776</v>
      </c>
      <c r="C247" s="21">
        <v>77</v>
      </c>
      <c r="D247" s="20" t="s">
        <v>1057</v>
      </c>
      <c r="E247" s="20" t="s">
        <v>1018</v>
      </c>
      <c r="F247" s="20" t="s">
        <v>1025</v>
      </c>
      <c r="G247" s="20" t="s">
        <v>1044</v>
      </c>
      <c r="H247" s="29">
        <v>45780</v>
      </c>
      <c r="I247" s="29">
        <v>45785</v>
      </c>
      <c r="J247" s="24">
        <v>257231</v>
      </c>
      <c r="K247" s="21">
        <v>2</v>
      </c>
      <c r="L247" s="21">
        <v>5</v>
      </c>
      <c r="M247" s="21">
        <v>1</v>
      </c>
      <c r="N247" s="24">
        <v>0</v>
      </c>
      <c r="O247" s="21">
        <v>5</v>
      </c>
      <c r="P247" t="str">
        <f t="shared" si="6"/>
        <v>Older Adults</v>
      </c>
      <c r="Q247" t="str">
        <f t="shared" si="7"/>
        <v>High</v>
      </c>
      <c r="R247" t="str">
        <f>IF(OR(AND(Table1[[#This Row],[Diagnosis]]="Labour Complication",Table1[[#This Row],[Gender]]="M"), AND(Table1[[#This Row],[Diagnosis]]="Labour Complication",Table1[[#This Row],[Age]]&lt;15)),"Error","OK")</f>
        <v>OK</v>
      </c>
      <c r="S247" s="4">
        <f>Table1[[#This Row],[Bill_Amount]]+Table1[[#This Row],[Surgery_Cost]]</f>
        <v>257231</v>
      </c>
    </row>
    <row r="248" spans="1:19" x14ac:dyDescent="0.35">
      <c r="A248" s="16" t="s">
        <v>277</v>
      </c>
      <c r="B248" s="17" t="s">
        <v>777</v>
      </c>
      <c r="C248" s="18">
        <v>18</v>
      </c>
      <c r="D248" s="17" t="s">
        <v>1058</v>
      </c>
      <c r="E248" s="17" t="s">
        <v>1017</v>
      </c>
      <c r="F248" s="17" t="s">
        <v>1024</v>
      </c>
      <c r="G248" s="17" t="s">
        <v>1031</v>
      </c>
      <c r="H248" s="30">
        <v>45745</v>
      </c>
      <c r="I248" s="30">
        <v>45751</v>
      </c>
      <c r="J248" s="25">
        <v>160747</v>
      </c>
      <c r="K248" s="18">
        <v>6</v>
      </c>
      <c r="L248" s="18">
        <v>17</v>
      </c>
      <c r="M248" s="18">
        <v>1</v>
      </c>
      <c r="N248" s="25">
        <v>0</v>
      </c>
      <c r="O248" s="18">
        <v>6</v>
      </c>
      <c r="P248" t="str">
        <f t="shared" si="6"/>
        <v>Teenagers</v>
      </c>
      <c r="Q248" t="str">
        <f t="shared" si="7"/>
        <v>High</v>
      </c>
      <c r="R248" t="str">
        <f>IF(OR(AND(Table1[[#This Row],[Diagnosis]]="Labour Complication",Table1[[#This Row],[Gender]]="M"), AND(Table1[[#This Row],[Diagnosis]]="Labour Complication",Table1[[#This Row],[Age]]&lt;15)),"Error","OK")</f>
        <v>OK</v>
      </c>
      <c r="S248" s="4">
        <f>Table1[[#This Row],[Bill_Amount]]+Table1[[#This Row],[Surgery_Cost]]</f>
        <v>160747</v>
      </c>
    </row>
    <row r="249" spans="1:19" x14ac:dyDescent="0.35">
      <c r="A249" s="19" t="s">
        <v>278</v>
      </c>
      <c r="B249" s="20" t="s">
        <v>778</v>
      </c>
      <c r="C249" s="21">
        <v>64</v>
      </c>
      <c r="D249" s="20" t="s">
        <v>1058</v>
      </c>
      <c r="E249" s="20" t="s">
        <v>1021</v>
      </c>
      <c r="F249" s="20" t="s">
        <v>1028</v>
      </c>
      <c r="G249" s="20" t="s">
        <v>1035</v>
      </c>
      <c r="H249" s="29">
        <v>45782</v>
      </c>
      <c r="I249" s="29">
        <v>45785</v>
      </c>
      <c r="J249" s="24">
        <v>54052</v>
      </c>
      <c r="K249" s="21">
        <v>4</v>
      </c>
      <c r="L249" s="21">
        <v>19</v>
      </c>
      <c r="M249" s="21">
        <v>2</v>
      </c>
      <c r="N249" s="24">
        <v>291189</v>
      </c>
      <c r="O249" s="21">
        <v>3</v>
      </c>
      <c r="P249" t="str">
        <f t="shared" si="6"/>
        <v>Older Adults</v>
      </c>
      <c r="Q249" t="str">
        <f t="shared" si="7"/>
        <v>Low</v>
      </c>
      <c r="R249" t="str">
        <f>IF(OR(AND(Table1[[#This Row],[Diagnosis]]="Labour Complication",Table1[[#This Row],[Gender]]="M"), AND(Table1[[#This Row],[Diagnosis]]="Labour Complication",Table1[[#This Row],[Age]]&lt;15)),"Error","OK")</f>
        <v>OK</v>
      </c>
      <c r="S249" s="4">
        <f>Table1[[#This Row],[Bill_Amount]]+Table1[[#This Row],[Surgery_Cost]]</f>
        <v>345241</v>
      </c>
    </row>
    <row r="250" spans="1:19" x14ac:dyDescent="0.35">
      <c r="A250" s="16" t="s">
        <v>279</v>
      </c>
      <c r="B250" s="17" t="s">
        <v>779</v>
      </c>
      <c r="C250" s="18">
        <v>30</v>
      </c>
      <c r="D250" s="17" t="s">
        <v>1058</v>
      </c>
      <c r="E250" s="17" t="s">
        <v>1017</v>
      </c>
      <c r="F250" s="17" t="s">
        <v>1024</v>
      </c>
      <c r="G250" s="17" t="s">
        <v>1042</v>
      </c>
      <c r="H250" s="30">
        <v>45767</v>
      </c>
      <c r="I250" s="30">
        <v>45775</v>
      </c>
      <c r="J250" s="25">
        <v>329226</v>
      </c>
      <c r="K250" s="18">
        <v>4</v>
      </c>
      <c r="L250" s="18">
        <v>2</v>
      </c>
      <c r="M250" s="18">
        <v>4</v>
      </c>
      <c r="N250" s="25">
        <v>0</v>
      </c>
      <c r="O250" s="18">
        <v>8</v>
      </c>
      <c r="P250" t="str">
        <f t="shared" si="6"/>
        <v>Adults</v>
      </c>
      <c r="Q250" t="str">
        <f t="shared" si="7"/>
        <v>High</v>
      </c>
      <c r="R250" t="str">
        <f>IF(OR(AND(Table1[[#This Row],[Diagnosis]]="Labour Complication",Table1[[#This Row],[Gender]]="M"), AND(Table1[[#This Row],[Diagnosis]]="Labour Complication",Table1[[#This Row],[Age]]&lt;15)),"Error","OK")</f>
        <v>OK</v>
      </c>
      <c r="S250" s="4">
        <f>Table1[[#This Row],[Bill_Amount]]+Table1[[#This Row],[Surgery_Cost]]</f>
        <v>329226</v>
      </c>
    </row>
    <row r="251" spans="1:19" x14ac:dyDescent="0.35">
      <c r="A251" s="19" t="s">
        <v>280</v>
      </c>
      <c r="B251" s="20" t="s">
        <v>780</v>
      </c>
      <c r="C251" s="21">
        <v>6</v>
      </c>
      <c r="D251" s="20" t="s">
        <v>1058</v>
      </c>
      <c r="E251" s="20" t="s">
        <v>1020</v>
      </c>
      <c r="F251" s="20" t="s">
        <v>1027</v>
      </c>
      <c r="G251" s="20" t="s">
        <v>1043</v>
      </c>
      <c r="H251" s="29">
        <v>45773</v>
      </c>
      <c r="I251" s="29">
        <v>45788</v>
      </c>
      <c r="J251" s="24">
        <v>439043</v>
      </c>
      <c r="K251" s="21">
        <v>7</v>
      </c>
      <c r="L251" s="21">
        <v>12</v>
      </c>
      <c r="M251" s="21">
        <v>2</v>
      </c>
      <c r="N251" s="24">
        <v>0</v>
      </c>
      <c r="O251" s="21">
        <v>15</v>
      </c>
      <c r="P251" t="str">
        <f t="shared" si="6"/>
        <v>Children</v>
      </c>
      <c r="Q251" t="str">
        <f t="shared" si="7"/>
        <v>High</v>
      </c>
      <c r="R251" t="str">
        <f>IF(OR(AND(Table1[[#This Row],[Diagnosis]]="Labour Complication",Table1[[#This Row],[Gender]]="M"), AND(Table1[[#This Row],[Diagnosis]]="Labour Complication",Table1[[#This Row],[Age]]&lt;15)),"Error","OK")</f>
        <v>OK</v>
      </c>
      <c r="S251" s="4">
        <f>Table1[[#This Row],[Bill_Amount]]+Table1[[#This Row],[Surgery_Cost]]</f>
        <v>439043</v>
      </c>
    </row>
    <row r="252" spans="1:19" x14ac:dyDescent="0.35">
      <c r="A252" s="16" t="s">
        <v>281</v>
      </c>
      <c r="B252" s="17" t="s">
        <v>781</v>
      </c>
      <c r="C252" s="18">
        <v>74</v>
      </c>
      <c r="D252" s="17" t="s">
        <v>1058</v>
      </c>
      <c r="E252" s="17" t="s">
        <v>1020</v>
      </c>
      <c r="F252" s="17" t="s">
        <v>1027</v>
      </c>
      <c r="G252" s="17" t="s">
        <v>1034</v>
      </c>
      <c r="H252" s="30">
        <v>45751</v>
      </c>
      <c r="I252" s="30">
        <v>45754</v>
      </c>
      <c r="J252" s="25">
        <v>214133</v>
      </c>
      <c r="K252" s="18">
        <v>4</v>
      </c>
      <c r="L252" s="18">
        <v>17</v>
      </c>
      <c r="M252" s="18">
        <v>2</v>
      </c>
      <c r="N252" s="25">
        <v>0</v>
      </c>
      <c r="O252" s="18">
        <v>3</v>
      </c>
      <c r="P252" t="str">
        <f t="shared" si="6"/>
        <v>Older Adults</v>
      </c>
      <c r="Q252" t="str">
        <f t="shared" si="7"/>
        <v>High</v>
      </c>
      <c r="R252" t="str">
        <f>IF(OR(AND(Table1[[#This Row],[Diagnosis]]="Labour Complication",Table1[[#This Row],[Gender]]="M"), AND(Table1[[#This Row],[Diagnosis]]="Labour Complication",Table1[[#This Row],[Age]]&lt;15)),"Error","OK")</f>
        <v>OK</v>
      </c>
      <c r="S252" s="4">
        <f>Table1[[#This Row],[Bill_Amount]]+Table1[[#This Row],[Surgery_Cost]]</f>
        <v>214133</v>
      </c>
    </row>
    <row r="253" spans="1:19" x14ac:dyDescent="0.35">
      <c r="A253" s="19" t="s">
        <v>282</v>
      </c>
      <c r="B253" s="20" t="s">
        <v>782</v>
      </c>
      <c r="C253" s="21">
        <v>38</v>
      </c>
      <c r="D253" s="20" t="s">
        <v>1057</v>
      </c>
      <c r="E253" s="20" t="s">
        <v>1016</v>
      </c>
      <c r="F253" s="20" t="s">
        <v>1023</v>
      </c>
      <c r="G253" s="20" t="s">
        <v>1040</v>
      </c>
      <c r="H253" s="29">
        <v>45790</v>
      </c>
      <c r="I253" s="29">
        <v>45802</v>
      </c>
      <c r="J253" s="24">
        <v>268991</v>
      </c>
      <c r="K253" s="21">
        <v>9</v>
      </c>
      <c r="L253" s="21">
        <v>5</v>
      </c>
      <c r="M253" s="21">
        <v>2</v>
      </c>
      <c r="N253" s="24">
        <v>0</v>
      </c>
      <c r="O253" s="21">
        <v>12</v>
      </c>
      <c r="P253" t="str">
        <f t="shared" si="6"/>
        <v>Adults</v>
      </c>
      <c r="Q253" t="str">
        <f t="shared" si="7"/>
        <v>High</v>
      </c>
      <c r="R253" t="str">
        <f>IF(OR(AND(Table1[[#This Row],[Diagnosis]]="Labour Complication",Table1[[#This Row],[Gender]]="M"), AND(Table1[[#This Row],[Diagnosis]]="Labour Complication",Table1[[#This Row],[Age]]&lt;15)),"Error","OK")</f>
        <v>OK</v>
      </c>
      <c r="S253" s="4">
        <f>Table1[[#This Row],[Bill_Amount]]+Table1[[#This Row],[Surgery_Cost]]</f>
        <v>268991</v>
      </c>
    </row>
    <row r="254" spans="1:19" x14ac:dyDescent="0.35">
      <c r="A254" s="16" t="s">
        <v>283</v>
      </c>
      <c r="B254" s="17" t="s">
        <v>783</v>
      </c>
      <c r="C254" s="18">
        <v>80</v>
      </c>
      <c r="D254" s="17" t="s">
        <v>1058</v>
      </c>
      <c r="E254" s="17" t="s">
        <v>1018</v>
      </c>
      <c r="F254" s="17" t="s">
        <v>1025</v>
      </c>
      <c r="G254" s="17" t="s">
        <v>1032</v>
      </c>
      <c r="H254" s="30">
        <v>45754</v>
      </c>
      <c r="I254" s="30">
        <v>45761</v>
      </c>
      <c r="J254" s="25">
        <v>140111</v>
      </c>
      <c r="K254" s="18">
        <v>2</v>
      </c>
      <c r="L254" s="18">
        <v>2</v>
      </c>
      <c r="M254" s="18">
        <v>2</v>
      </c>
      <c r="N254" s="25">
        <v>0</v>
      </c>
      <c r="O254" s="18">
        <v>7</v>
      </c>
      <c r="P254" t="str">
        <f t="shared" si="6"/>
        <v>Older Adults</v>
      </c>
      <c r="Q254" t="str">
        <f t="shared" si="7"/>
        <v>Medium</v>
      </c>
      <c r="R254" t="str">
        <f>IF(OR(AND(Table1[[#This Row],[Diagnosis]]="Labour Complication",Table1[[#This Row],[Gender]]="M"), AND(Table1[[#This Row],[Diagnosis]]="Labour Complication",Table1[[#This Row],[Age]]&lt;15)),"Error","OK")</f>
        <v>OK</v>
      </c>
      <c r="S254" s="4">
        <f>Table1[[#This Row],[Bill_Amount]]+Table1[[#This Row],[Surgery_Cost]]</f>
        <v>140111</v>
      </c>
    </row>
    <row r="255" spans="1:19" x14ac:dyDescent="0.35">
      <c r="A255" s="19" t="s">
        <v>284</v>
      </c>
      <c r="B255" s="20" t="s">
        <v>784</v>
      </c>
      <c r="C255" s="21">
        <v>14</v>
      </c>
      <c r="D255" s="20" t="s">
        <v>1057</v>
      </c>
      <c r="E255" s="20" t="s">
        <v>1021</v>
      </c>
      <c r="F255" s="20" t="s">
        <v>1028</v>
      </c>
      <c r="G255" s="20" t="s">
        <v>1036</v>
      </c>
      <c r="H255" s="29">
        <v>45796</v>
      </c>
      <c r="I255" s="29">
        <v>45799</v>
      </c>
      <c r="J255" s="24">
        <v>278962</v>
      </c>
      <c r="K255" s="21">
        <v>4</v>
      </c>
      <c r="L255" s="21">
        <v>5</v>
      </c>
      <c r="M255" s="21">
        <v>2</v>
      </c>
      <c r="N255" s="24">
        <v>106892</v>
      </c>
      <c r="O255" s="21">
        <v>3</v>
      </c>
      <c r="P255" t="str">
        <f t="shared" si="6"/>
        <v>Teenagers</v>
      </c>
      <c r="Q255" t="str">
        <f t="shared" si="7"/>
        <v>High</v>
      </c>
      <c r="R255" t="str">
        <f>IF(OR(AND(Table1[[#This Row],[Diagnosis]]="Labour Complication",Table1[[#This Row],[Gender]]="M"), AND(Table1[[#This Row],[Diagnosis]]="Labour Complication",Table1[[#This Row],[Age]]&lt;15)),"Error","OK")</f>
        <v>OK</v>
      </c>
      <c r="S255" s="4">
        <f>Table1[[#This Row],[Bill_Amount]]+Table1[[#This Row],[Surgery_Cost]]</f>
        <v>385854</v>
      </c>
    </row>
    <row r="256" spans="1:19" x14ac:dyDescent="0.35">
      <c r="A256" s="16" t="s">
        <v>285</v>
      </c>
      <c r="B256" s="17" t="s">
        <v>785</v>
      </c>
      <c r="C256" s="18">
        <v>11</v>
      </c>
      <c r="D256" s="17" t="s">
        <v>1058</v>
      </c>
      <c r="E256" s="17" t="s">
        <v>1019</v>
      </c>
      <c r="F256" s="17" t="s">
        <v>1026</v>
      </c>
      <c r="G256" s="17" t="s">
        <v>1038</v>
      </c>
      <c r="H256" s="30">
        <v>45764</v>
      </c>
      <c r="I256" s="30">
        <v>45772</v>
      </c>
      <c r="J256" s="25">
        <v>324707</v>
      </c>
      <c r="K256" s="18">
        <v>2</v>
      </c>
      <c r="L256" s="18">
        <v>6</v>
      </c>
      <c r="M256" s="18">
        <v>3</v>
      </c>
      <c r="N256" s="25">
        <v>0</v>
      </c>
      <c r="O256" s="18">
        <v>8</v>
      </c>
      <c r="P256" t="str">
        <f t="shared" si="6"/>
        <v>Children</v>
      </c>
      <c r="Q256" t="str">
        <f t="shared" si="7"/>
        <v>High</v>
      </c>
      <c r="R256" t="str">
        <f>IF(OR(AND(Table1[[#This Row],[Diagnosis]]="Labour Complication",Table1[[#This Row],[Gender]]="M"), AND(Table1[[#This Row],[Diagnosis]]="Labour Complication",Table1[[#This Row],[Age]]&lt;15)),"Error","OK")</f>
        <v>OK</v>
      </c>
      <c r="S256" s="4">
        <f>Table1[[#This Row],[Bill_Amount]]+Table1[[#This Row],[Surgery_Cost]]</f>
        <v>324707</v>
      </c>
    </row>
    <row r="257" spans="1:19" x14ac:dyDescent="0.35">
      <c r="A257" s="19" t="s">
        <v>286</v>
      </c>
      <c r="B257" s="20" t="s">
        <v>786</v>
      </c>
      <c r="C257" s="21">
        <v>43</v>
      </c>
      <c r="D257" s="20" t="s">
        <v>1057</v>
      </c>
      <c r="E257" s="20" t="s">
        <v>1016</v>
      </c>
      <c r="F257" s="20" t="s">
        <v>1023</v>
      </c>
      <c r="G257" s="20" t="s">
        <v>1030</v>
      </c>
      <c r="H257" s="29">
        <v>45752</v>
      </c>
      <c r="I257" s="29">
        <v>45759</v>
      </c>
      <c r="J257" s="24">
        <v>166167</v>
      </c>
      <c r="K257" s="21">
        <v>2</v>
      </c>
      <c r="L257" s="21">
        <v>9</v>
      </c>
      <c r="M257" s="21">
        <v>4</v>
      </c>
      <c r="N257" s="24">
        <v>0</v>
      </c>
      <c r="O257" s="21">
        <v>7</v>
      </c>
      <c r="P257" t="str">
        <f t="shared" si="6"/>
        <v>Adults</v>
      </c>
      <c r="Q257" t="str">
        <f t="shared" si="7"/>
        <v>High</v>
      </c>
      <c r="R257" t="str">
        <f>IF(OR(AND(Table1[[#This Row],[Diagnosis]]="Labour Complication",Table1[[#This Row],[Gender]]="M"), AND(Table1[[#This Row],[Diagnosis]]="Labour Complication",Table1[[#This Row],[Age]]&lt;15)),"Error","OK")</f>
        <v>OK</v>
      </c>
      <c r="S257" s="4">
        <f>Table1[[#This Row],[Bill_Amount]]+Table1[[#This Row],[Surgery_Cost]]</f>
        <v>166167</v>
      </c>
    </row>
    <row r="258" spans="1:19" x14ac:dyDescent="0.35">
      <c r="A258" s="16" t="s">
        <v>287</v>
      </c>
      <c r="B258" s="17" t="s">
        <v>787</v>
      </c>
      <c r="C258" s="18">
        <v>68</v>
      </c>
      <c r="D258" s="17" t="s">
        <v>1057</v>
      </c>
      <c r="E258" s="17" t="s">
        <v>1019</v>
      </c>
      <c r="F258" s="17" t="s">
        <v>1026</v>
      </c>
      <c r="G258" s="17" t="s">
        <v>1038</v>
      </c>
      <c r="H258" s="30">
        <v>45773</v>
      </c>
      <c r="I258" s="30">
        <v>45785</v>
      </c>
      <c r="J258" s="25">
        <v>109782</v>
      </c>
      <c r="K258" s="18">
        <v>6</v>
      </c>
      <c r="L258" s="18">
        <v>2</v>
      </c>
      <c r="M258" s="18">
        <v>4</v>
      </c>
      <c r="N258" s="25">
        <v>0</v>
      </c>
      <c r="O258" s="18">
        <v>12</v>
      </c>
      <c r="P258" t="str">
        <f t="shared" ref="P258:P321" si="8">IF(C258&lt;=12,"Children", IF(C258&lt;=19,"Teenagers", IF(C258&lt;60, "Adults","Older Adults")))</f>
        <v>Older Adults</v>
      </c>
      <c r="Q258" t="str">
        <f t="shared" ref="Q258:Q321" si="9">IF(J258&lt;100000,"Low", IF(J258&lt;150000,"Medium","High"))</f>
        <v>Medium</v>
      </c>
      <c r="R258" t="str">
        <f>IF(OR(AND(Table1[[#This Row],[Diagnosis]]="Labour Complication",Table1[[#This Row],[Gender]]="M"), AND(Table1[[#This Row],[Diagnosis]]="Labour Complication",Table1[[#This Row],[Age]]&lt;15)),"Error","OK")</f>
        <v>OK</v>
      </c>
      <c r="S258" s="4">
        <f>Table1[[#This Row],[Bill_Amount]]+Table1[[#This Row],[Surgery_Cost]]</f>
        <v>109782</v>
      </c>
    </row>
    <row r="259" spans="1:19" x14ac:dyDescent="0.35">
      <c r="A259" s="19" t="s">
        <v>288</v>
      </c>
      <c r="B259" s="20" t="s">
        <v>788</v>
      </c>
      <c r="C259" s="21">
        <v>83</v>
      </c>
      <c r="D259" s="20" t="s">
        <v>1057</v>
      </c>
      <c r="E259" s="20" t="s">
        <v>1021</v>
      </c>
      <c r="F259" s="20" t="s">
        <v>1028</v>
      </c>
      <c r="G259" s="20" t="s">
        <v>1035</v>
      </c>
      <c r="H259" s="29">
        <v>45791</v>
      </c>
      <c r="I259" s="29">
        <v>45804</v>
      </c>
      <c r="J259" s="24">
        <v>479364</v>
      </c>
      <c r="K259" s="21">
        <v>8</v>
      </c>
      <c r="L259" s="21">
        <v>17</v>
      </c>
      <c r="M259" s="21">
        <v>1</v>
      </c>
      <c r="N259" s="24">
        <v>263788</v>
      </c>
      <c r="O259" s="21">
        <v>13</v>
      </c>
      <c r="P259" t="str">
        <f t="shared" si="8"/>
        <v>Older Adults</v>
      </c>
      <c r="Q259" t="str">
        <f t="shared" si="9"/>
        <v>High</v>
      </c>
      <c r="R259" t="str">
        <f>IF(OR(AND(Table1[[#This Row],[Diagnosis]]="Labour Complication",Table1[[#This Row],[Gender]]="M"), AND(Table1[[#This Row],[Diagnosis]]="Labour Complication",Table1[[#This Row],[Age]]&lt;15)),"Error","OK")</f>
        <v>OK</v>
      </c>
      <c r="S259" s="4">
        <f>Table1[[#This Row],[Bill_Amount]]+Table1[[#This Row],[Surgery_Cost]]</f>
        <v>743152</v>
      </c>
    </row>
    <row r="260" spans="1:19" x14ac:dyDescent="0.35">
      <c r="A260" s="16" t="s">
        <v>289</v>
      </c>
      <c r="B260" s="17" t="s">
        <v>789</v>
      </c>
      <c r="C260" s="18">
        <v>26</v>
      </c>
      <c r="D260" s="17" t="s">
        <v>1057</v>
      </c>
      <c r="E260" s="17" t="s">
        <v>1018</v>
      </c>
      <c r="F260" s="17" t="s">
        <v>1025</v>
      </c>
      <c r="G260" s="17" t="s">
        <v>1032</v>
      </c>
      <c r="H260" s="30">
        <v>45754</v>
      </c>
      <c r="I260" s="30">
        <v>45758</v>
      </c>
      <c r="J260" s="25">
        <v>184201</v>
      </c>
      <c r="K260" s="18">
        <v>2</v>
      </c>
      <c r="L260" s="18">
        <v>9</v>
      </c>
      <c r="M260" s="18">
        <v>1</v>
      </c>
      <c r="N260" s="25">
        <v>0</v>
      </c>
      <c r="O260" s="18">
        <v>4</v>
      </c>
      <c r="P260" t="str">
        <f t="shared" si="8"/>
        <v>Adults</v>
      </c>
      <c r="Q260" t="str">
        <f t="shared" si="9"/>
        <v>High</v>
      </c>
      <c r="R260" t="str">
        <f>IF(OR(AND(Table1[[#This Row],[Diagnosis]]="Labour Complication",Table1[[#This Row],[Gender]]="M"), AND(Table1[[#This Row],[Diagnosis]]="Labour Complication",Table1[[#This Row],[Age]]&lt;15)),"Error","OK")</f>
        <v>OK</v>
      </c>
      <c r="S260" s="4">
        <f>Table1[[#This Row],[Bill_Amount]]+Table1[[#This Row],[Surgery_Cost]]</f>
        <v>184201</v>
      </c>
    </row>
    <row r="261" spans="1:19" x14ac:dyDescent="0.35">
      <c r="A261" s="19" t="s">
        <v>290</v>
      </c>
      <c r="B261" s="20" t="s">
        <v>790</v>
      </c>
      <c r="C261" s="21">
        <v>84</v>
      </c>
      <c r="D261" s="20" t="s">
        <v>1057</v>
      </c>
      <c r="E261" s="20" t="s">
        <v>1017</v>
      </c>
      <c r="F261" s="20" t="s">
        <v>1024</v>
      </c>
      <c r="G261" s="20" t="s">
        <v>1042</v>
      </c>
      <c r="H261" s="29">
        <v>45747</v>
      </c>
      <c r="I261" s="29">
        <v>45761</v>
      </c>
      <c r="J261" s="24">
        <v>448014</v>
      </c>
      <c r="K261" s="21">
        <v>7</v>
      </c>
      <c r="L261" s="21">
        <v>5</v>
      </c>
      <c r="M261" s="21">
        <v>4</v>
      </c>
      <c r="N261" s="24">
        <v>0</v>
      </c>
      <c r="O261" s="21">
        <v>14</v>
      </c>
      <c r="P261" t="str">
        <f t="shared" si="8"/>
        <v>Older Adults</v>
      </c>
      <c r="Q261" t="str">
        <f t="shared" si="9"/>
        <v>High</v>
      </c>
      <c r="R261" t="str">
        <f>IF(OR(AND(Table1[[#This Row],[Diagnosis]]="Labour Complication",Table1[[#This Row],[Gender]]="M"), AND(Table1[[#This Row],[Diagnosis]]="Labour Complication",Table1[[#This Row],[Age]]&lt;15)),"Error","OK")</f>
        <v>OK</v>
      </c>
      <c r="S261" s="4">
        <f>Table1[[#This Row],[Bill_Amount]]+Table1[[#This Row],[Surgery_Cost]]</f>
        <v>448014</v>
      </c>
    </row>
    <row r="262" spans="1:19" x14ac:dyDescent="0.35">
      <c r="A262" s="16" t="s">
        <v>291</v>
      </c>
      <c r="B262" s="17" t="s">
        <v>791</v>
      </c>
      <c r="C262" s="18">
        <v>60</v>
      </c>
      <c r="D262" s="17" t="s">
        <v>1058</v>
      </c>
      <c r="E262" s="17" t="s">
        <v>1022</v>
      </c>
      <c r="F262" s="17" t="s">
        <v>1029</v>
      </c>
      <c r="G262" s="17" t="s">
        <v>1041</v>
      </c>
      <c r="H262" s="30">
        <v>45769</v>
      </c>
      <c r="I262" s="30">
        <v>45781</v>
      </c>
      <c r="J262" s="25">
        <v>309059</v>
      </c>
      <c r="K262" s="18">
        <v>4</v>
      </c>
      <c r="L262" s="18">
        <v>17</v>
      </c>
      <c r="M262" s="18">
        <v>4</v>
      </c>
      <c r="N262" s="25">
        <v>0</v>
      </c>
      <c r="O262" s="18">
        <v>12</v>
      </c>
      <c r="P262" t="str">
        <f t="shared" si="8"/>
        <v>Older Adults</v>
      </c>
      <c r="Q262" t="str">
        <f t="shared" si="9"/>
        <v>High</v>
      </c>
      <c r="R262" t="str">
        <f>IF(OR(AND(Table1[[#This Row],[Diagnosis]]="Labour Complication",Table1[[#This Row],[Gender]]="M"), AND(Table1[[#This Row],[Diagnosis]]="Labour Complication",Table1[[#This Row],[Age]]&lt;15)),"Error","OK")</f>
        <v>OK</v>
      </c>
      <c r="S262" s="4">
        <f>Table1[[#This Row],[Bill_Amount]]+Table1[[#This Row],[Surgery_Cost]]</f>
        <v>309059</v>
      </c>
    </row>
    <row r="263" spans="1:19" x14ac:dyDescent="0.35">
      <c r="A263" s="19" t="s">
        <v>292</v>
      </c>
      <c r="B263" s="20" t="s">
        <v>792</v>
      </c>
      <c r="C263" s="21">
        <v>20</v>
      </c>
      <c r="D263" s="20" t="s">
        <v>1058</v>
      </c>
      <c r="E263" s="20" t="s">
        <v>1022</v>
      </c>
      <c r="F263" s="20" t="s">
        <v>1029</v>
      </c>
      <c r="G263" s="20" t="s">
        <v>1039</v>
      </c>
      <c r="H263" s="29">
        <v>45757</v>
      </c>
      <c r="I263" s="29">
        <v>45769</v>
      </c>
      <c r="J263" s="24">
        <v>215747</v>
      </c>
      <c r="K263" s="21">
        <v>6</v>
      </c>
      <c r="L263" s="21">
        <v>8</v>
      </c>
      <c r="M263" s="21">
        <v>3</v>
      </c>
      <c r="N263" s="24">
        <v>0</v>
      </c>
      <c r="O263" s="21">
        <v>12</v>
      </c>
      <c r="P263" t="str">
        <f t="shared" si="8"/>
        <v>Adults</v>
      </c>
      <c r="Q263" t="str">
        <f t="shared" si="9"/>
        <v>High</v>
      </c>
      <c r="R263" t="str">
        <f>IF(OR(AND(Table1[[#This Row],[Diagnosis]]="Labour Complication",Table1[[#This Row],[Gender]]="M"), AND(Table1[[#This Row],[Diagnosis]]="Labour Complication",Table1[[#This Row],[Age]]&lt;15)),"Error","OK")</f>
        <v>OK</v>
      </c>
      <c r="S263" s="4">
        <f>Table1[[#This Row],[Bill_Amount]]+Table1[[#This Row],[Surgery_Cost]]</f>
        <v>215747</v>
      </c>
    </row>
    <row r="264" spans="1:19" x14ac:dyDescent="0.35">
      <c r="A264" s="16" t="s">
        <v>293</v>
      </c>
      <c r="B264" s="17" t="s">
        <v>793</v>
      </c>
      <c r="C264" s="18">
        <v>39</v>
      </c>
      <c r="D264" s="17" t="s">
        <v>1058</v>
      </c>
      <c r="E264" s="17" t="s">
        <v>1020</v>
      </c>
      <c r="F264" s="17" t="s">
        <v>1027</v>
      </c>
      <c r="G264" s="17" t="s">
        <v>1043</v>
      </c>
      <c r="H264" s="30">
        <v>45753</v>
      </c>
      <c r="I264" s="30">
        <v>45762</v>
      </c>
      <c r="J264" s="25">
        <v>381027</v>
      </c>
      <c r="K264" s="18">
        <v>5</v>
      </c>
      <c r="L264" s="18">
        <v>9</v>
      </c>
      <c r="M264" s="18">
        <v>3</v>
      </c>
      <c r="N264" s="25">
        <v>0</v>
      </c>
      <c r="O264" s="18">
        <v>9</v>
      </c>
      <c r="P264" t="str">
        <f t="shared" si="8"/>
        <v>Adults</v>
      </c>
      <c r="Q264" t="str">
        <f t="shared" si="9"/>
        <v>High</v>
      </c>
      <c r="R264" t="str">
        <f>IF(OR(AND(Table1[[#This Row],[Diagnosis]]="Labour Complication",Table1[[#This Row],[Gender]]="M"), AND(Table1[[#This Row],[Diagnosis]]="Labour Complication",Table1[[#This Row],[Age]]&lt;15)),"Error","OK")</f>
        <v>OK</v>
      </c>
      <c r="S264" s="4">
        <f>Table1[[#This Row],[Bill_Amount]]+Table1[[#This Row],[Surgery_Cost]]</f>
        <v>381027</v>
      </c>
    </row>
    <row r="265" spans="1:19" x14ac:dyDescent="0.35">
      <c r="A265" s="19" t="s">
        <v>294</v>
      </c>
      <c r="B265" s="20" t="s">
        <v>794</v>
      </c>
      <c r="C265" s="21">
        <v>40</v>
      </c>
      <c r="D265" s="20" t="s">
        <v>1058</v>
      </c>
      <c r="E265" s="20" t="s">
        <v>1021</v>
      </c>
      <c r="F265" s="20" t="s">
        <v>1028</v>
      </c>
      <c r="G265" s="20" t="s">
        <v>1036</v>
      </c>
      <c r="H265" s="29">
        <v>45794</v>
      </c>
      <c r="I265" s="29">
        <v>45804</v>
      </c>
      <c r="J265" s="24">
        <v>88897</v>
      </c>
      <c r="K265" s="21">
        <v>2</v>
      </c>
      <c r="L265" s="21">
        <v>9</v>
      </c>
      <c r="M265" s="21">
        <v>4</v>
      </c>
      <c r="N265" s="24">
        <v>163970</v>
      </c>
      <c r="O265" s="21">
        <v>10</v>
      </c>
      <c r="P265" t="str">
        <f t="shared" si="8"/>
        <v>Adults</v>
      </c>
      <c r="Q265" t="str">
        <f t="shared" si="9"/>
        <v>Low</v>
      </c>
      <c r="R265" t="str">
        <f>IF(OR(AND(Table1[[#This Row],[Diagnosis]]="Labour Complication",Table1[[#This Row],[Gender]]="M"), AND(Table1[[#This Row],[Diagnosis]]="Labour Complication",Table1[[#This Row],[Age]]&lt;15)),"Error","OK")</f>
        <v>OK</v>
      </c>
      <c r="S265" s="4">
        <f>Table1[[#This Row],[Bill_Amount]]+Table1[[#This Row],[Surgery_Cost]]</f>
        <v>252867</v>
      </c>
    </row>
    <row r="266" spans="1:19" x14ac:dyDescent="0.35">
      <c r="A266" s="16" t="s">
        <v>295</v>
      </c>
      <c r="B266" s="17" t="s">
        <v>795</v>
      </c>
      <c r="C266" s="18">
        <v>37</v>
      </c>
      <c r="D266" s="17" t="s">
        <v>1057</v>
      </c>
      <c r="E266" s="17" t="s">
        <v>1018</v>
      </c>
      <c r="F266" s="17" t="s">
        <v>1025</v>
      </c>
      <c r="G266" s="17" t="s">
        <v>1032</v>
      </c>
      <c r="H266" s="30">
        <v>45759</v>
      </c>
      <c r="I266" s="30">
        <v>45761</v>
      </c>
      <c r="J266" s="25">
        <v>243324</v>
      </c>
      <c r="K266" s="18">
        <v>9</v>
      </c>
      <c r="L266" s="18">
        <v>13</v>
      </c>
      <c r="M266" s="18">
        <v>4</v>
      </c>
      <c r="N266" s="25">
        <v>0</v>
      </c>
      <c r="O266" s="18">
        <v>2</v>
      </c>
      <c r="P266" t="str">
        <f t="shared" si="8"/>
        <v>Adults</v>
      </c>
      <c r="Q266" t="str">
        <f t="shared" si="9"/>
        <v>High</v>
      </c>
      <c r="R266" t="str">
        <f>IF(OR(AND(Table1[[#This Row],[Diagnosis]]="Labour Complication",Table1[[#This Row],[Gender]]="M"), AND(Table1[[#This Row],[Diagnosis]]="Labour Complication",Table1[[#This Row],[Age]]&lt;15)),"Error","OK")</f>
        <v>OK</v>
      </c>
      <c r="S266" s="4">
        <f>Table1[[#This Row],[Bill_Amount]]+Table1[[#This Row],[Surgery_Cost]]</f>
        <v>243324</v>
      </c>
    </row>
    <row r="267" spans="1:19" x14ac:dyDescent="0.35">
      <c r="A267" s="19" t="s">
        <v>296</v>
      </c>
      <c r="B267" s="20" t="s">
        <v>796</v>
      </c>
      <c r="C267" s="21">
        <v>79</v>
      </c>
      <c r="D267" s="20" t="s">
        <v>1058</v>
      </c>
      <c r="E267" s="20" t="s">
        <v>1022</v>
      </c>
      <c r="F267" s="20" t="s">
        <v>1029</v>
      </c>
      <c r="G267" s="20" t="s">
        <v>1041</v>
      </c>
      <c r="H267" s="29">
        <v>45791</v>
      </c>
      <c r="I267" s="29">
        <v>45806</v>
      </c>
      <c r="J267" s="24">
        <v>97341</v>
      </c>
      <c r="K267" s="21">
        <v>4</v>
      </c>
      <c r="L267" s="21">
        <v>4</v>
      </c>
      <c r="M267" s="21">
        <v>4</v>
      </c>
      <c r="N267" s="24">
        <v>0</v>
      </c>
      <c r="O267" s="21">
        <v>15</v>
      </c>
      <c r="P267" t="str">
        <f t="shared" si="8"/>
        <v>Older Adults</v>
      </c>
      <c r="Q267" t="str">
        <f t="shared" si="9"/>
        <v>Low</v>
      </c>
      <c r="R267" t="str">
        <f>IF(OR(AND(Table1[[#This Row],[Diagnosis]]="Labour Complication",Table1[[#This Row],[Gender]]="M"), AND(Table1[[#This Row],[Diagnosis]]="Labour Complication",Table1[[#This Row],[Age]]&lt;15)),"Error","OK")</f>
        <v>OK</v>
      </c>
      <c r="S267" s="4">
        <f>Table1[[#This Row],[Bill_Amount]]+Table1[[#This Row],[Surgery_Cost]]</f>
        <v>97341</v>
      </c>
    </row>
    <row r="268" spans="1:19" x14ac:dyDescent="0.35">
      <c r="A268" s="16" t="s">
        <v>297</v>
      </c>
      <c r="B268" s="17" t="s">
        <v>797</v>
      </c>
      <c r="C268" s="18">
        <v>6</v>
      </c>
      <c r="D268" s="17" t="s">
        <v>1058</v>
      </c>
      <c r="E268" s="17" t="s">
        <v>1019</v>
      </c>
      <c r="F268" s="17" t="s">
        <v>1026</v>
      </c>
      <c r="G268" s="17" t="s">
        <v>1033</v>
      </c>
      <c r="H268" s="30">
        <v>45785</v>
      </c>
      <c r="I268" s="30">
        <v>45795</v>
      </c>
      <c r="J268" s="25">
        <v>465140</v>
      </c>
      <c r="K268" s="18">
        <v>3</v>
      </c>
      <c r="L268" s="18">
        <v>9</v>
      </c>
      <c r="M268" s="18">
        <v>1</v>
      </c>
      <c r="N268" s="25">
        <v>0</v>
      </c>
      <c r="O268" s="18">
        <v>10</v>
      </c>
      <c r="P268" t="str">
        <f t="shared" si="8"/>
        <v>Children</v>
      </c>
      <c r="Q268" t="str">
        <f t="shared" si="9"/>
        <v>High</v>
      </c>
      <c r="R268" t="str">
        <f>IF(OR(AND(Table1[[#This Row],[Diagnosis]]="Labour Complication",Table1[[#This Row],[Gender]]="M"), AND(Table1[[#This Row],[Diagnosis]]="Labour Complication",Table1[[#This Row],[Age]]&lt;15)),"Error","OK")</f>
        <v>OK</v>
      </c>
      <c r="S268" s="4">
        <f>Table1[[#This Row],[Bill_Amount]]+Table1[[#This Row],[Surgery_Cost]]</f>
        <v>465140</v>
      </c>
    </row>
    <row r="269" spans="1:19" x14ac:dyDescent="0.35">
      <c r="A269" s="19" t="s">
        <v>298</v>
      </c>
      <c r="B269" s="20" t="s">
        <v>798</v>
      </c>
      <c r="C269" s="21">
        <v>65</v>
      </c>
      <c r="D269" s="20" t="s">
        <v>1057</v>
      </c>
      <c r="E269" s="20" t="s">
        <v>1021</v>
      </c>
      <c r="F269" s="20" t="s">
        <v>1028</v>
      </c>
      <c r="G269" s="20" t="s">
        <v>1035</v>
      </c>
      <c r="H269" s="29">
        <v>45762</v>
      </c>
      <c r="I269" s="29">
        <v>45773</v>
      </c>
      <c r="J269" s="24">
        <v>299366</v>
      </c>
      <c r="K269" s="21">
        <v>7</v>
      </c>
      <c r="L269" s="21">
        <v>17</v>
      </c>
      <c r="M269" s="21">
        <v>4</v>
      </c>
      <c r="N269" s="24">
        <v>188482</v>
      </c>
      <c r="O269" s="21">
        <v>11</v>
      </c>
      <c r="P269" t="str">
        <f t="shared" si="8"/>
        <v>Older Adults</v>
      </c>
      <c r="Q269" t="str">
        <f t="shared" si="9"/>
        <v>High</v>
      </c>
      <c r="R269" t="str">
        <f>IF(OR(AND(Table1[[#This Row],[Diagnosis]]="Labour Complication",Table1[[#This Row],[Gender]]="M"), AND(Table1[[#This Row],[Diagnosis]]="Labour Complication",Table1[[#This Row],[Age]]&lt;15)),"Error","OK")</f>
        <v>OK</v>
      </c>
      <c r="S269" s="4">
        <f>Table1[[#This Row],[Bill_Amount]]+Table1[[#This Row],[Surgery_Cost]]</f>
        <v>487848</v>
      </c>
    </row>
    <row r="270" spans="1:19" x14ac:dyDescent="0.35">
      <c r="A270" s="16" t="s">
        <v>299</v>
      </c>
      <c r="B270" s="17" t="s">
        <v>799</v>
      </c>
      <c r="C270" s="18">
        <v>44</v>
      </c>
      <c r="D270" s="17" t="s">
        <v>1057</v>
      </c>
      <c r="E270" s="17" t="s">
        <v>1020</v>
      </c>
      <c r="F270" s="17" t="s">
        <v>1027</v>
      </c>
      <c r="G270" s="17" t="s">
        <v>1043</v>
      </c>
      <c r="H270" s="30">
        <v>45793</v>
      </c>
      <c r="I270" s="30">
        <v>45796</v>
      </c>
      <c r="J270" s="25">
        <v>475180</v>
      </c>
      <c r="K270" s="18">
        <v>8</v>
      </c>
      <c r="L270" s="18">
        <v>13</v>
      </c>
      <c r="M270" s="18">
        <v>2</v>
      </c>
      <c r="N270" s="25">
        <v>0</v>
      </c>
      <c r="O270" s="18">
        <v>3</v>
      </c>
      <c r="P270" t="str">
        <f t="shared" si="8"/>
        <v>Adults</v>
      </c>
      <c r="Q270" t="str">
        <f t="shared" si="9"/>
        <v>High</v>
      </c>
      <c r="R270" t="str">
        <f>IF(OR(AND(Table1[[#This Row],[Diagnosis]]="Labour Complication",Table1[[#This Row],[Gender]]="M"), AND(Table1[[#This Row],[Diagnosis]]="Labour Complication",Table1[[#This Row],[Age]]&lt;15)),"Error","OK")</f>
        <v>OK</v>
      </c>
      <c r="S270" s="4">
        <f>Table1[[#This Row],[Bill_Amount]]+Table1[[#This Row],[Surgery_Cost]]</f>
        <v>475180</v>
      </c>
    </row>
    <row r="271" spans="1:19" x14ac:dyDescent="0.35">
      <c r="A271" s="19" t="s">
        <v>300</v>
      </c>
      <c r="B271" s="20" t="s">
        <v>800</v>
      </c>
      <c r="C271" s="21">
        <v>57</v>
      </c>
      <c r="D271" s="20" t="s">
        <v>1058</v>
      </c>
      <c r="E271" s="20" t="s">
        <v>1018</v>
      </c>
      <c r="F271" s="20" t="s">
        <v>1025</v>
      </c>
      <c r="G271" s="20" t="s">
        <v>1032</v>
      </c>
      <c r="H271" s="29">
        <v>45780</v>
      </c>
      <c r="I271" s="29">
        <v>45785</v>
      </c>
      <c r="J271" s="24">
        <v>420997</v>
      </c>
      <c r="K271" s="21">
        <v>2</v>
      </c>
      <c r="L271" s="21">
        <v>3</v>
      </c>
      <c r="M271" s="21">
        <v>1</v>
      </c>
      <c r="N271" s="24">
        <v>0</v>
      </c>
      <c r="O271" s="21">
        <v>5</v>
      </c>
      <c r="P271" t="str">
        <f t="shared" si="8"/>
        <v>Adults</v>
      </c>
      <c r="Q271" t="str">
        <f t="shared" si="9"/>
        <v>High</v>
      </c>
      <c r="R271" t="str">
        <f>IF(OR(AND(Table1[[#This Row],[Diagnosis]]="Labour Complication",Table1[[#This Row],[Gender]]="M"), AND(Table1[[#This Row],[Diagnosis]]="Labour Complication",Table1[[#This Row],[Age]]&lt;15)),"Error","OK")</f>
        <v>OK</v>
      </c>
      <c r="S271" s="4">
        <f>Table1[[#This Row],[Bill_Amount]]+Table1[[#This Row],[Surgery_Cost]]</f>
        <v>420997</v>
      </c>
    </row>
    <row r="272" spans="1:19" x14ac:dyDescent="0.35">
      <c r="A272" s="16" t="s">
        <v>301</v>
      </c>
      <c r="B272" s="17" t="s">
        <v>801</v>
      </c>
      <c r="C272" s="18">
        <v>47</v>
      </c>
      <c r="D272" s="17" t="s">
        <v>1058</v>
      </c>
      <c r="E272" s="17" t="s">
        <v>1019</v>
      </c>
      <c r="F272" s="17" t="s">
        <v>1026</v>
      </c>
      <c r="G272" s="17" t="s">
        <v>1038</v>
      </c>
      <c r="H272" s="30">
        <v>45780</v>
      </c>
      <c r="I272" s="30">
        <v>45791</v>
      </c>
      <c r="J272" s="25">
        <v>133228</v>
      </c>
      <c r="K272" s="18">
        <v>5</v>
      </c>
      <c r="L272" s="18">
        <v>12</v>
      </c>
      <c r="M272" s="18">
        <v>4</v>
      </c>
      <c r="N272" s="25">
        <v>0</v>
      </c>
      <c r="O272" s="18">
        <v>11</v>
      </c>
      <c r="P272" t="str">
        <f t="shared" si="8"/>
        <v>Adults</v>
      </c>
      <c r="Q272" t="str">
        <f t="shared" si="9"/>
        <v>Medium</v>
      </c>
      <c r="R272" t="str">
        <f>IF(OR(AND(Table1[[#This Row],[Diagnosis]]="Labour Complication",Table1[[#This Row],[Gender]]="M"), AND(Table1[[#This Row],[Diagnosis]]="Labour Complication",Table1[[#This Row],[Age]]&lt;15)),"Error","OK")</f>
        <v>OK</v>
      </c>
      <c r="S272" s="4">
        <f>Table1[[#This Row],[Bill_Amount]]+Table1[[#This Row],[Surgery_Cost]]</f>
        <v>133228</v>
      </c>
    </row>
    <row r="273" spans="1:19" x14ac:dyDescent="0.35">
      <c r="A273" s="19" t="s">
        <v>302</v>
      </c>
      <c r="B273" s="20" t="s">
        <v>802</v>
      </c>
      <c r="C273" s="21">
        <v>44</v>
      </c>
      <c r="D273" s="20" t="s">
        <v>1057</v>
      </c>
      <c r="E273" s="20" t="s">
        <v>1020</v>
      </c>
      <c r="F273" s="20" t="s">
        <v>1027</v>
      </c>
      <c r="G273" s="20" t="s">
        <v>1034</v>
      </c>
      <c r="H273" s="29">
        <v>45797</v>
      </c>
      <c r="I273" s="29">
        <v>45805</v>
      </c>
      <c r="J273" s="24">
        <v>456042</v>
      </c>
      <c r="K273" s="21">
        <v>4</v>
      </c>
      <c r="L273" s="21">
        <v>12</v>
      </c>
      <c r="M273" s="21">
        <v>3</v>
      </c>
      <c r="N273" s="24">
        <v>0</v>
      </c>
      <c r="O273" s="21">
        <v>8</v>
      </c>
      <c r="P273" t="str">
        <f t="shared" si="8"/>
        <v>Adults</v>
      </c>
      <c r="Q273" t="str">
        <f t="shared" si="9"/>
        <v>High</v>
      </c>
      <c r="R273" t="str">
        <f>IF(OR(AND(Table1[[#This Row],[Diagnosis]]="Labour Complication",Table1[[#This Row],[Gender]]="M"), AND(Table1[[#This Row],[Diagnosis]]="Labour Complication",Table1[[#This Row],[Age]]&lt;15)),"Error","OK")</f>
        <v>OK</v>
      </c>
      <c r="S273" s="4">
        <f>Table1[[#This Row],[Bill_Amount]]+Table1[[#This Row],[Surgery_Cost]]</f>
        <v>456042</v>
      </c>
    </row>
    <row r="274" spans="1:19" x14ac:dyDescent="0.35">
      <c r="A274" s="16" t="s">
        <v>303</v>
      </c>
      <c r="B274" s="17" t="s">
        <v>803</v>
      </c>
      <c r="C274" s="18">
        <v>72</v>
      </c>
      <c r="D274" s="17" t="s">
        <v>1058</v>
      </c>
      <c r="E274" s="17" t="s">
        <v>1018</v>
      </c>
      <c r="F274" s="17" t="s">
        <v>1025</v>
      </c>
      <c r="G274" s="17" t="s">
        <v>1037</v>
      </c>
      <c r="H274" s="30">
        <v>45786</v>
      </c>
      <c r="I274" s="30">
        <v>45793</v>
      </c>
      <c r="J274" s="25">
        <v>99548</v>
      </c>
      <c r="K274" s="18">
        <v>3</v>
      </c>
      <c r="L274" s="18">
        <v>4</v>
      </c>
      <c r="M274" s="18">
        <v>4</v>
      </c>
      <c r="N274" s="25">
        <v>0</v>
      </c>
      <c r="O274" s="18">
        <v>7</v>
      </c>
      <c r="P274" t="str">
        <f t="shared" si="8"/>
        <v>Older Adults</v>
      </c>
      <c r="Q274" t="str">
        <f t="shared" si="9"/>
        <v>Low</v>
      </c>
      <c r="R274" t="str">
        <f>IF(OR(AND(Table1[[#This Row],[Diagnosis]]="Labour Complication",Table1[[#This Row],[Gender]]="M"), AND(Table1[[#This Row],[Diagnosis]]="Labour Complication",Table1[[#This Row],[Age]]&lt;15)),"Error","OK")</f>
        <v>OK</v>
      </c>
      <c r="S274" s="4">
        <f>Table1[[#This Row],[Bill_Amount]]+Table1[[#This Row],[Surgery_Cost]]</f>
        <v>99548</v>
      </c>
    </row>
    <row r="275" spans="1:19" x14ac:dyDescent="0.35">
      <c r="A275" s="19" t="s">
        <v>304</v>
      </c>
      <c r="B275" s="20" t="s">
        <v>804</v>
      </c>
      <c r="C275" s="21">
        <v>85</v>
      </c>
      <c r="D275" s="20" t="s">
        <v>1057</v>
      </c>
      <c r="E275" s="20" t="s">
        <v>1021</v>
      </c>
      <c r="F275" s="20" t="s">
        <v>1028</v>
      </c>
      <c r="G275" s="20" t="s">
        <v>1036</v>
      </c>
      <c r="H275" s="29">
        <v>45765</v>
      </c>
      <c r="I275" s="29">
        <v>45778</v>
      </c>
      <c r="J275" s="24">
        <v>496465</v>
      </c>
      <c r="K275" s="21">
        <v>4</v>
      </c>
      <c r="L275" s="21">
        <v>2</v>
      </c>
      <c r="M275" s="21">
        <v>2</v>
      </c>
      <c r="N275" s="24">
        <v>172013</v>
      </c>
      <c r="O275" s="21">
        <v>13</v>
      </c>
      <c r="P275" t="str">
        <f t="shared" si="8"/>
        <v>Older Adults</v>
      </c>
      <c r="Q275" t="str">
        <f t="shared" si="9"/>
        <v>High</v>
      </c>
      <c r="R275" t="str">
        <f>IF(OR(AND(Table1[[#This Row],[Diagnosis]]="Labour Complication",Table1[[#This Row],[Gender]]="M"), AND(Table1[[#This Row],[Diagnosis]]="Labour Complication",Table1[[#This Row],[Age]]&lt;15)),"Error","OK")</f>
        <v>OK</v>
      </c>
      <c r="S275" s="4">
        <f>Table1[[#This Row],[Bill_Amount]]+Table1[[#This Row],[Surgery_Cost]]</f>
        <v>668478</v>
      </c>
    </row>
    <row r="276" spans="1:19" x14ac:dyDescent="0.35">
      <c r="A276" s="16" t="s">
        <v>305</v>
      </c>
      <c r="B276" s="17" t="s">
        <v>805</v>
      </c>
      <c r="C276" s="18">
        <v>19</v>
      </c>
      <c r="D276" s="17" t="s">
        <v>1058</v>
      </c>
      <c r="E276" s="17" t="s">
        <v>1018</v>
      </c>
      <c r="F276" s="17" t="s">
        <v>1025</v>
      </c>
      <c r="G276" s="17" t="s">
        <v>1037</v>
      </c>
      <c r="H276" s="30">
        <v>45792</v>
      </c>
      <c r="I276" s="30">
        <v>45803</v>
      </c>
      <c r="J276" s="25">
        <v>397923</v>
      </c>
      <c r="K276" s="18">
        <v>2</v>
      </c>
      <c r="L276" s="18">
        <v>16</v>
      </c>
      <c r="M276" s="18">
        <v>2</v>
      </c>
      <c r="N276" s="25">
        <v>0</v>
      </c>
      <c r="O276" s="18">
        <v>11</v>
      </c>
      <c r="P276" t="str">
        <f t="shared" si="8"/>
        <v>Teenagers</v>
      </c>
      <c r="Q276" t="str">
        <f t="shared" si="9"/>
        <v>High</v>
      </c>
      <c r="R276" t="str">
        <f>IF(OR(AND(Table1[[#This Row],[Diagnosis]]="Labour Complication",Table1[[#This Row],[Gender]]="M"), AND(Table1[[#This Row],[Diagnosis]]="Labour Complication",Table1[[#This Row],[Age]]&lt;15)),"Error","OK")</f>
        <v>OK</v>
      </c>
      <c r="S276" s="4">
        <f>Table1[[#This Row],[Bill_Amount]]+Table1[[#This Row],[Surgery_Cost]]</f>
        <v>397923</v>
      </c>
    </row>
    <row r="277" spans="1:19" x14ac:dyDescent="0.35">
      <c r="A277" s="19" t="s">
        <v>306</v>
      </c>
      <c r="B277" s="20" t="s">
        <v>806</v>
      </c>
      <c r="C277" s="21">
        <v>51</v>
      </c>
      <c r="D277" s="20" t="s">
        <v>1057</v>
      </c>
      <c r="E277" s="20" t="s">
        <v>1016</v>
      </c>
      <c r="F277" s="20" t="s">
        <v>1023</v>
      </c>
      <c r="G277" s="20" t="s">
        <v>1030</v>
      </c>
      <c r="H277" s="29">
        <v>45772</v>
      </c>
      <c r="I277" s="29">
        <v>45785</v>
      </c>
      <c r="J277" s="24">
        <v>397149</v>
      </c>
      <c r="K277" s="21">
        <v>4</v>
      </c>
      <c r="L277" s="21">
        <v>13</v>
      </c>
      <c r="M277" s="21">
        <v>3</v>
      </c>
      <c r="N277" s="24">
        <v>0</v>
      </c>
      <c r="O277" s="21">
        <v>13</v>
      </c>
      <c r="P277" t="str">
        <f t="shared" si="8"/>
        <v>Adults</v>
      </c>
      <c r="Q277" t="str">
        <f t="shared" si="9"/>
        <v>High</v>
      </c>
      <c r="R277" t="str">
        <f>IF(OR(AND(Table1[[#This Row],[Diagnosis]]="Labour Complication",Table1[[#This Row],[Gender]]="M"), AND(Table1[[#This Row],[Diagnosis]]="Labour Complication",Table1[[#This Row],[Age]]&lt;15)),"Error","OK")</f>
        <v>OK</v>
      </c>
      <c r="S277" s="4">
        <f>Table1[[#This Row],[Bill_Amount]]+Table1[[#This Row],[Surgery_Cost]]</f>
        <v>397149</v>
      </c>
    </row>
    <row r="278" spans="1:19" x14ac:dyDescent="0.35">
      <c r="A278" s="16" t="s">
        <v>307</v>
      </c>
      <c r="B278" s="17" t="s">
        <v>807</v>
      </c>
      <c r="C278" s="18">
        <v>83</v>
      </c>
      <c r="D278" s="17" t="s">
        <v>1058</v>
      </c>
      <c r="E278" s="17" t="s">
        <v>1021</v>
      </c>
      <c r="F278" s="17" t="s">
        <v>1028</v>
      </c>
      <c r="G278" s="17" t="s">
        <v>1035</v>
      </c>
      <c r="H278" s="30">
        <v>45785</v>
      </c>
      <c r="I278" s="30">
        <v>45795</v>
      </c>
      <c r="J278" s="25">
        <v>247488</v>
      </c>
      <c r="K278" s="18">
        <v>2</v>
      </c>
      <c r="L278" s="18">
        <v>10</v>
      </c>
      <c r="M278" s="18">
        <v>1</v>
      </c>
      <c r="N278" s="25">
        <v>299843</v>
      </c>
      <c r="O278" s="18">
        <v>10</v>
      </c>
      <c r="P278" t="str">
        <f t="shared" si="8"/>
        <v>Older Adults</v>
      </c>
      <c r="Q278" t="str">
        <f t="shared" si="9"/>
        <v>High</v>
      </c>
      <c r="R278" t="str">
        <f>IF(OR(AND(Table1[[#This Row],[Diagnosis]]="Labour Complication",Table1[[#This Row],[Gender]]="M"), AND(Table1[[#This Row],[Diagnosis]]="Labour Complication",Table1[[#This Row],[Age]]&lt;15)),"Error","OK")</f>
        <v>OK</v>
      </c>
      <c r="S278" s="4">
        <f>Table1[[#This Row],[Bill_Amount]]+Table1[[#This Row],[Surgery_Cost]]</f>
        <v>547331</v>
      </c>
    </row>
    <row r="279" spans="1:19" x14ac:dyDescent="0.35">
      <c r="A279" s="19" t="s">
        <v>308</v>
      </c>
      <c r="B279" s="20" t="s">
        <v>808</v>
      </c>
      <c r="C279" s="21">
        <v>88</v>
      </c>
      <c r="D279" s="20" t="s">
        <v>1057</v>
      </c>
      <c r="E279" s="20" t="s">
        <v>1016</v>
      </c>
      <c r="F279" s="20" t="s">
        <v>1023</v>
      </c>
      <c r="G279" s="20" t="s">
        <v>1040</v>
      </c>
      <c r="H279" s="29">
        <v>45768</v>
      </c>
      <c r="I279" s="29">
        <v>45781</v>
      </c>
      <c r="J279" s="24">
        <v>484613</v>
      </c>
      <c r="K279" s="21">
        <v>4</v>
      </c>
      <c r="L279" s="21">
        <v>3</v>
      </c>
      <c r="M279" s="21">
        <v>1</v>
      </c>
      <c r="N279" s="24">
        <v>0</v>
      </c>
      <c r="O279" s="21">
        <v>13</v>
      </c>
      <c r="P279" t="str">
        <f t="shared" si="8"/>
        <v>Older Adults</v>
      </c>
      <c r="Q279" t="str">
        <f t="shared" si="9"/>
        <v>High</v>
      </c>
      <c r="R279" t="str">
        <f>IF(OR(AND(Table1[[#This Row],[Diagnosis]]="Labour Complication",Table1[[#This Row],[Gender]]="M"), AND(Table1[[#This Row],[Diagnosis]]="Labour Complication",Table1[[#This Row],[Age]]&lt;15)),"Error","OK")</f>
        <v>OK</v>
      </c>
      <c r="S279" s="4">
        <f>Table1[[#This Row],[Bill_Amount]]+Table1[[#This Row],[Surgery_Cost]]</f>
        <v>484613</v>
      </c>
    </row>
    <row r="280" spans="1:19" x14ac:dyDescent="0.35">
      <c r="A280" s="16" t="s">
        <v>309</v>
      </c>
      <c r="B280" s="17" t="s">
        <v>809</v>
      </c>
      <c r="C280" s="18">
        <v>47</v>
      </c>
      <c r="D280" s="17" t="s">
        <v>1058</v>
      </c>
      <c r="E280" s="17" t="s">
        <v>1019</v>
      </c>
      <c r="F280" s="17" t="s">
        <v>1026</v>
      </c>
      <c r="G280" s="17" t="s">
        <v>1033</v>
      </c>
      <c r="H280" s="30">
        <v>45748</v>
      </c>
      <c r="I280" s="30">
        <v>45755</v>
      </c>
      <c r="J280" s="25">
        <v>59558</v>
      </c>
      <c r="K280" s="18">
        <v>9</v>
      </c>
      <c r="L280" s="18">
        <v>14</v>
      </c>
      <c r="M280" s="18">
        <v>1</v>
      </c>
      <c r="N280" s="25">
        <v>0</v>
      </c>
      <c r="O280" s="18">
        <v>7</v>
      </c>
      <c r="P280" t="str">
        <f t="shared" si="8"/>
        <v>Adults</v>
      </c>
      <c r="Q280" t="str">
        <f t="shared" si="9"/>
        <v>Low</v>
      </c>
      <c r="R280" t="str">
        <f>IF(OR(AND(Table1[[#This Row],[Diagnosis]]="Labour Complication",Table1[[#This Row],[Gender]]="M"), AND(Table1[[#This Row],[Diagnosis]]="Labour Complication",Table1[[#This Row],[Age]]&lt;15)),"Error","OK")</f>
        <v>OK</v>
      </c>
      <c r="S280" s="4">
        <f>Table1[[#This Row],[Bill_Amount]]+Table1[[#This Row],[Surgery_Cost]]</f>
        <v>59558</v>
      </c>
    </row>
    <row r="281" spans="1:19" x14ac:dyDescent="0.35">
      <c r="A281" s="19" t="s">
        <v>310</v>
      </c>
      <c r="B281" s="20" t="s">
        <v>810</v>
      </c>
      <c r="C281" s="21">
        <v>63</v>
      </c>
      <c r="D281" s="20" t="s">
        <v>1057</v>
      </c>
      <c r="E281" s="20" t="s">
        <v>1017</v>
      </c>
      <c r="F281" s="20" t="s">
        <v>1024</v>
      </c>
      <c r="G281" s="20" t="s">
        <v>1042</v>
      </c>
      <c r="H281" s="29">
        <v>45794</v>
      </c>
      <c r="I281" s="29">
        <v>45801</v>
      </c>
      <c r="J281" s="24">
        <v>451686</v>
      </c>
      <c r="K281" s="21">
        <v>3</v>
      </c>
      <c r="L281" s="21">
        <v>6</v>
      </c>
      <c r="M281" s="21">
        <v>2</v>
      </c>
      <c r="N281" s="24">
        <v>0</v>
      </c>
      <c r="O281" s="21">
        <v>7</v>
      </c>
      <c r="P281" t="str">
        <f t="shared" si="8"/>
        <v>Older Adults</v>
      </c>
      <c r="Q281" t="str">
        <f t="shared" si="9"/>
        <v>High</v>
      </c>
      <c r="R281" t="str">
        <f>IF(OR(AND(Table1[[#This Row],[Diagnosis]]="Labour Complication",Table1[[#This Row],[Gender]]="M"), AND(Table1[[#This Row],[Diagnosis]]="Labour Complication",Table1[[#This Row],[Age]]&lt;15)),"Error","OK")</f>
        <v>OK</v>
      </c>
      <c r="S281" s="4">
        <f>Table1[[#This Row],[Bill_Amount]]+Table1[[#This Row],[Surgery_Cost]]</f>
        <v>451686</v>
      </c>
    </row>
    <row r="282" spans="1:19" x14ac:dyDescent="0.35">
      <c r="A282" s="16" t="s">
        <v>311</v>
      </c>
      <c r="B282" s="17" t="s">
        <v>811</v>
      </c>
      <c r="C282" s="18">
        <v>38</v>
      </c>
      <c r="D282" s="17" t="s">
        <v>1057</v>
      </c>
      <c r="E282" s="17" t="s">
        <v>1017</v>
      </c>
      <c r="F282" s="17" t="s">
        <v>1024</v>
      </c>
      <c r="G282" s="17" t="s">
        <v>1042</v>
      </c>
      <c r="H282" s="30">
        <v>45768</v>
      </c>
      <c r="I282" s="30">
        <v>45772</v>
      </c>
      <c r="J282" s="25">
        <v>90456</v>
      </c>
      <c r="K282" s="18">
        <v>9</v>
      </c>
      <c r="L282" s="18">
        <v>6</v>
      </c>
      <c r="M282" s="18">
        <v>2</v>
      </c>
      <c r="N282" s="25">
        <v>0</v>
      </c>
      <c r="O282" s="18">
        <v>4</v>
      </c>
      <c r="P282" t="str">
        <f t="shared" si="8"/>
        <v>Adults</v>
      </c>
      <c r="Q282" t="str">
        <f t="shared" si="9"/>
        <v>Low</v>
      </c>
      <c r="R282" t="str">
        <f>IF(OR(AND(Table1[[#This Row],[Diagnosis]]="Labour Complication",Table1[[#This Row],[Gender]]="M"), AND(Table1[[#This Row],[Diagnosis]]="Labour Complication",Table1[[#This Row],[Age]]&lt;15)),"Error","OK")</f>
        <v>OK</v>
      </c>
      <c r="S282" s="4">
        <f>Table1[[#This Row],[Bill_Amount]]+Table1[[#This Row],[Surgery_Cost]]</f>
        <v>90456</v>
      </c>
    </row>
    <row r="283" spans="1:19" x14ac:dyDescent="0.35">
      <c r="A283" s="19" t="s">
        <v>312</v>
      </c>
      <c r="B283" s="20" t="s">
        <v>812</v>
      </c>
      <c r="C283" s="21">
        <v>80</v>
      </c>
      <c r="D283" s="20" t="s">
        <v>1057</v>
      </c>
      <c r="E283" s="20" t="s">
        <v>1016</v>
      </c>
      <c r="F283" s="20" t="s">
        <v>1023</v>
      </c>
      <c r="G283" s="20" t="s">
        <v>1040</v>
      </c>
      <c r="H283" s="29">
        <v>45788</v>
      </c>
      <c r="I283" s="29">
        <v>45795</v>
      </c>
      <c r="J283" s="24">
        <v>451765</v>
      </c>
      <c r="K283" s="21">
        <v>6</v>
      </c>
      <c r="L283" s="21">
        <v>19</v>
      </c>
      <c r="M283" s="21">
        <v>2</v>
      </c>
      <c r="N283" s="24">
        <v>0</v>
      </c>
      <c r="O283" s="21">
        <v>7</v>
      </c>
      <c r="P283" t="str">
        <f t="shared" si="8"/>
        <v>Older Adults</v>
      </c>
      <c r="Q283" t="str">
        <f t="shared" si="9"/>
        <v>High</v>
      </c>
      <c r="R283" t="str">
        <f>IF(OR(AND(Table1[[#This Row],[Diagnosis]]="Labour Complication",Table1[[#This Row],[Gender]]="M"), AND(Table1[[#This Row],[Diagnosis]]="Labour Complication",Table1[[#This Row],[Age]]&lt;15)),"Error","OK")</f>
        <v>OK</v>
      </c>
      <c r="S283" s="4">
        <f>Table1[[#This Row],[Bill_Amount]]+Table1[[#This Row],[Surgery_Cost]]</f>
        <v>451765</v>
      </c>
    </row>
    <row r="284" spans="1:19" x14ac:dyDescent="0.35">
      <c r="A284" s="19" t="s">
        <v>314</v>
      </c>
      <c r="B284" s="20" t="s">
        <v>814</v>
      </c>
      <c r="C284" s="21">
        <v>87</v>
      </c>
      <c r="D284" s="20" t="s">
        <v>1057</v>
      </c>
      <c r="E284" s="20" t="s">
        <v>1018</v>
      </c>
      <c r="F284" s="20" t="s">
        <v>1025</v>
      </c>
      <c r="G284" s="20" t="s">
        <v>1037</v>
      </c>
      <c r="H284" s="29">
        <v>45753</v>
      </c>
      <c r="I284" s="29">
        <v>45761</v>
      </c>
      <c r="J284" s="24">
        <v>240997</v>
      </c>
      <c r="K284" s="21">
        <v>3</v>
      </c>
      <c r="L284" s="21">
        <v>16</v>
      </c>
      <c r="M284" s="21">
        <v>1</v>
      </c>
      <c r="N284" s="24">
        <v>0</v>
      </c>
      <c r="O284" s="21">
        <v>8</v>
      </c>
      <c r="P284" t="str">
        <f t="shared" si="8"/>
        <v>Older Adults</v>
      </c>
      <c r="Q284" t="str">
        <f t="shared" si="9"/>
        <v>High</v>
      </c>
      <c r="R284" t="str">
        <f>IF(OR(AND(Table1[[#This Row],[Diagnosis]]="Labour Complication",Table1[[#This Row],[Gender]]="M"), AND(Table1[[#This Row],[Diagnosis]]="Labour Complication",Table1[[#This Row],[Age]]&lt;15)),"Error","OK")</f>
        <v>OK</v>
      </c>
      <c r="S284" s="4">
        <f>Table1[[#This Row],[Bill_Amount]]+Table1[[#This Row],[Surgery_Cost]]</f>
        <v>240997</v>
      </c>
    </row>
    <row r="285" spans="1:19" x14ac:dyDescent="0.35">
      <c r="A285" s="16" t="s">
        <v>315</v>
      </c>
      <c r="B285" s="17" t="s">
        <v>815</v>
      </c>
      <c r="C285" s="18">
        <v>58</v>
      </c>
      <c r="D285" s="17" t="s">
        <v>1057</v>
      </c>
      <c r="E285" s="17" t="s">
        <v>1019</v>
      </c>
      <c r="F285" s="17" t="s">
        <v>1026</v>
      </c>
      <c r="G285" s="17" t="s">
        <v>1033</v>
      </c>
      <c r="H285" s="30">
        <v>45775</v>
      </c>
      <c r="I285" s="30">
        <v>45781</v>
      </c>
      <c r="J285" s="25">
        <v>444469</v>
      </c>
      <c r="K285" s="18">
        <v>6</v>
      </c>
      <c r="L285" s="18">
        <v>3</v>
      </c>
      <c r="M285" s="18">
        <v>3</v>
      </c>
      <c r="N285" s="25">
        <v>0</v>
      </c>
      <c r="O285" s="18">
        <v>6</v>
      </c>
      <c r="P285" t="str">
        <f t="shared" si="8"/>
        <v>Adults</v>
      </c>
      <c r="Q285" t="str">
        <f t="shared" si="9"/>
        <v>High</v>
      </c>
      <c r="R285" t="str">
        <f>IF(OR(AND(Table1[[#This Row],[Diagnosis]]="Labour Complication",Table1[[#This Row],[Gender]]="M"), AND(Table1[[#This Row],[Diagnosis]]="Labour Complication",Table1[[#This Row],[Age]]&lt;15)),"Error","OK")</f>
        <v>OK</v>
      </c>
      <c r="S285" s="4">
        <f>Table1[[#This Row],[Bill_Amount]]+Table1[[#This Row],[Surgery_Cost]]</f>
        <v>444469</v>
      </c>
    </row>
    <row r="286" spans="1:19" x14ac:dyDescent="0.35">
      <c r="A286" s="19" t="s">
        <v>316</v>
      </c>
      <c r="B286" s="20" t="s">
        <v>816</v>
      </c>
      <c r="C286" s="21">
        <v>61</v>
      </c>
      <c r="D286" s="20" t="s">
        <v>1057</v>
      </c>
      <c r="E286" s="20" t="s">
        <v>1021</v>
      </c>
      <c r="F286" s="20" t="s">
        <v>1028</v>
      </c>
      <c r="G286" s="20" t="s">
        <v>1036</v>
      </c>
      <c r="H286" s="29">
        <v>45782</v>
      </c>
      <c r="I286" s="29">
        <v>45796</v>
      </c>
      <c r="J286" s="24">
        <v>461235</v>
      </c>
      <c r="K286" s="21">
        <v>7</v>
      </c>
      <c r="L286" s="21">
        <v>1</v>
      </c>
      <c r="M286" s="21">
        <v>1</v>
      </c>
      <c r="N286" s="24">
        <v>121246</v>
      </c>
      <c r="O286" s="21">
        <v>14</v>
      </c>
      <c r="P286" t="str">
        <f t="shared" si="8"/>
        <v>Older Adults</v>
      </c>
      <c r="Q286" t="str">
        <f t="shared" si="9"/>
        <v>High</v>
      </c>
      <c r="R286" t="str">
        <f>IF(OR(AND(Table1[[#This Row],[Diagnosis]]="Labour Complication",Table1[[#This Row],[Gender]]="M"), AND(Table1[[#This Row],[Diagnosis]]="Labour Complication",Table1[[#This Row],[Age]]&lt;15)),"Error","OK")</f>
        <v>OK</v>
      </c>
      <c r="S286" s="4">
        <f>Table1[[#This Row],[Bill_Amount]]+Table1[[#This Row],[Surgery_Cost]]</f>
        <v>582481</v>
      </c>
    </row>
    <row r="287" spans="1:19" x14ac:dyDescent="0.35">
      <c r="A287" s="16" t="s">
        <v>317</v>
      </c>
      <c r="B287" s="17" t="s">
        <v>817</v>
      </c>
      <c r="C287" s="18">
        <v>60</v>
      </c>
      <c r="D287" s="17" t="s">
        <v>1058</v>
      </c>
      <c r="E287" s="17" t="s">
        <v>1016</v>
      </c>
      <c r="F287" s="17" t="s">
        <v>1023</v>
      </c>
      <c r="G287" s="17" t="s">
        <v>1040</v>
      </c>
      <c r="H287" s="30">
        <v>45797</v>
      </c>
      <c r="I287" s="30">
        <v>45808</v>
      </c>
      <c r="J287" s="25">
        <v>280999</v>
      </c>
      <c r="K287" s="18">
        <v>8</v>
      </c>
      <c r="L287" s="18">
        <v>7</v>
      </c>
      <c r="M287" s="18">
        <v>3</v>
      </c>
      <c r="N287" s="25">
        <v>0</v>
      </c>
      <c r="O287" s="18">
        <v>11</v>
      </c>
      <c r="P287" t="str">
        <f t="shared" si="8"/>
        <v>Older Adults</v>
      </c>
      <c r="Q287" t="str">
        <f t="shared" si="9"/>
        <v>High</v>
      </c>
      <c r="R287" t="str">
        <f>IF(OR(AND(Table1[[#This Row],[Diagnosis]]="Labour Complication",Table1[[#This Row],[Gender]]="M"), AND(Table1[[#This Row],[Diagnosis]]="Labour Complication",Table1[[#This Row],[Age]]&lt;15)),"Error","OK")</f>
        <v>OK</v>
      </c>
      <c r="S287" s="4">
        <f>Table1[[#This Row],[Bill_Amount]]+Table1[[#This Row],[Surgery_Cost]]</f>
        <v>280999</v>
      </c>
    </row>
    <row r="288" spans="1:19" x14ac:dyDescent="0.35">
      <c r="A288" s="19" t="s">
        <v>318</v>
      </c>
      <c r="B288" s="20" t="s">
        <v>818</v>
      </c>
      <c r="C288" s="21">
        <v>21</v>
      </c>
      <c r="D288" s="20" t="s">
        <v>1057</v>
      </c>
      <c r="E288" s="20" t="s">
        <v>1019</v>
      </c>
      <c r="F288" s="20" t="s">
        <v>1026</v>
      </c>
      <c r="G288" s="20" t="s">
        <v>1033</v>
      </c>
      <c r="H288" s="29">
        <v>45751</v>
      </c>
      <c r="I288" s="29">
        <v>45761</v>
      </c>
      <c r="J288" s="24">
        <v>269498</v>
      </c>
      <c r="K288" s="21">
        <v>2</v>
      </c>
      <c r="L288" s="21">
        <v>8</v>
      </c>
      <c r="M288" s="21">
        <v>4</v>
      </c>
      <c r="N288" s="24">
        <v>0</v>
      </c>
      <c r="O288" s="21">
        <v>10</v>
      </c>
      <c r="P288" t="str">
        <f t="shared" si="8"/>
        <v>Adults</v>
      </c>
      <c r="Q288" t="str">
        <f t="shared" si="9"/>
        <v>High</v>
      </c>
      <c r="R288" t="str">
        <f>IF(OR(AND(Table1[[#This Row],[Diagnosis]]="Labour Complication",Table1[[#This Row],[Gender]]="M"), AND(Table1[[#This Row],[Diagnosis]]="Labour Complication",Table1[[#This Row],[Age]]&lt;15)),"Error","OK")</f>
        <v>OK</v>
      </c>
      <c r="S288" s="4">
        <f>Table1[[#This Row],[Bill_Amount]]+Table1[[#This Row],[Surgery_Cost]]</f>
        <v>269498</v>
      </c>
    </row>
    <row r="289" spans="1:19" x14ac:dyDescent="0.35">
      <c r="A289" s="16" t="s">
        <v>319</v>
      </c>
      <c r="B289" s="17" t="s">
        <v>819</v>
      </c>
      <c r="C289" s="18">
        <v>83</v>
      </c>
      <c r="D289" s="17" t="s">
        <v>1058</v>
      </c>
      <c r="E289" s="17" t="s">
        <v>1022</v>
      </c>
      <c r="F289" s="17" t="s">
        <v>1029</v>
      </c>
      <c r="G289" s="17" t="s">
        <v>1041</v>
      </c>
      <c r="H289" s="30">
        <v>45797</v>
      </c>
      <c r="I289" s="30">
        <v>45803</v>
      </c>
      <c r="J289" s="25">
        <v>77357</v>
      </c>
      <c r="K289" s="18">
        <v>7</v>
      </c>
      <c r="L289" s="18">
        <v>9</v>
      </c>
      <c r="M289" s="18">
        <v>3</v>
      </c>
      <c r="N289" s="25">
        <v>0</v>
      </c>
      <c r="O289" s="18">
        <v>6</v>
      </c>
      <c r="P289" t="str">
        <f t="shared" si="8"/>
        <v>Older Adults</v>
      </c>
      <c r="Q289" t="str">
        <f t="shared" si="9"/>
        <v>Low</v>
      </c>
      <c r="R289" t="str">
        <f>IF(OR(AND(Table1[[#This Row],[Diagnosis]]="Labour Complication",Table1[[#This Row],[Gender]]="M"), AND(Table1[[#This Row],[Diagnosis]]="Labour Complication",Table1[[#This Row],[Age]]&lt;15)),"Error","OK")</f>
        <v>OK</v>
      </c>
      <c r="S289" s="4">
        <f>Table1[[#This Row],[Bill_Amount]]+Table1[[#This Row],[Surgery_Cost]]</f>
        <v>77357</v>
      </c>
    </row>
    <row r="290" spans="1:19" x14ac:dyDescent="0.35">
      <c r="A290" s="19" t="s">
        <v>320</v>
      </c>
      <c r="B290" s="20" t="s">
        <v>820</v>
      </c>
      <c r="C290" s="21">
        <v>67</v>
      </c>
      <c r="D290" s="20" t="s">
        <v>1057</v>
      </c>
      <c r="E290" s="20" t="s">
        <v>1019</v>
      </c>
      <c r="F290" s="20" t="s">
        <v>1026</v>
      </c>
      <c r="G290" s="20" t="s">
        <v>1038</v>
      </c>
      <c r="H290" s="29">
        <v>45789</v>
      </c>
      <c r="I290" s="29">
        <v>45792</v>
      </c>
      <c r="J290" s="24">
        <v>422978</v>
      </c>
      <c r="K290" s="21">
        <v>5</v>
      </c>
      <c r="L290" s="21">
        <v>1</v>
      </c>
      <c r="M290" s="21">
        <v>2</v>
      </c>
      <c r="N290" s="24">
        <v>0</v>
      </c>
      <c r="O290" s="21">
        <v>3</v>
      </c>
      <c r="P290" t="str">
        <f t="shared" si="8"/>
        <v>Older Adults</v>
      </c>
      <c r="Q290" t="str">
        <f t="shared" si="9"/>
        <v>High</v>
      </c>
      <c r="R290" t="str">
        <f>IF(OR(AND(Table1[[#This Row],[Diagnosis]]="Labour Complication",Table1[[#This Row],[Gender]]="M"), AND(Table1[[#This Row],[Diagnosis]]="Labour Complication",Table1[[#This Row],[Age]]&lt;15)),"Error","OK")</f>
        <v>OK</v>
      </c>
      <c r="S290" s="4">
        <f>Table1[[#This Row],[Bill_Amount]]+Table1[[#This Row],[Surgery_Cost]]</f>
        <v>422978</v>
      </c>
    </row>
    <row r="291" spans="1:19" x14ac:dyDescent="0.35">
      <c r="A291" s="16" t="s">
        <v>321</v>
      </c>
      <c r="B291" s="17" t="s">
        <v>821</v>
      </c>
      <c r="C291" s="18">
        <v>35</v>
      </c>
      <c r="D291" s="17" t="s">
        <v>1058</v>
      </c>
      <c r="E291" s="17" t="s">
        <v>1018</v>
      </c>
      <c r="F291" s="17" t="s">
        <v>1025</v>
      </c>
      <c r="G291" s="17" t="s">
        <v>1032</v>
      </c>
      <c r="H291" s="30">
        <v>45752</v>
      </c>
      <c r="I291" s="30">
        <v>45766</v>
      </c>
      <c r="J291" s="25">
        <v>134049</v>
      </c>
      <c r="K291" s="18">
        <v>7</v>
      </c>
      <c r="L291" s="18">
        <v>7</v>
      </c>
      <c r="M291" s="18">
        <v>3</v>
      </c>
      <c r="N291" s="25">
        <v>0</v>
      </c>
      <c r="O291" s="18">
        <v>14</v>
      </c>
      <c r="P291" t="str">
        <f t="shared" si="8"/>
        <v>Adults</v>
      </c>
      <c r="Q291" t="str">
        <f t="shared" si="9"/>
        <v>Medium</v>
      </c>
      <c r="R291" t="str">
        <f>IF(OR(AND(Table1[[#This Row],[Diagnosis]]="Labour Complication",Table1[[#This Row],[Gender]]="M"), AND(Table1[[#This Row],[Diagnosis]]="Labour Complication",Table1[[#This Row],[Age]]&lt;15)),"Error","OK")</f>
        <v>OK</v>
      </c>
      <c r="S291" s="4">
        <f>Table1[[#This Row],[Bill_Amount]]+Table1[[#This Row],[Surgery_Cost]]</f>
        <v>134049</v>
      </c>
    </row>
    <row r="292" spans="1:19" x14ac:dyDescent="0.35">
      <c r="A292" s="16" t="s">
        <v>323</v>
      </c>
      <c r="B292" s="17" t="s">
        <v>823</v>
      </c>
      <c r="C292" s="18">
        <v>7</v>
      </c>
      <c r="D292" s="17" t="s">
        <v>1058</v>
      </c>
      <c r="E292" s="17" t="s">
        <v>1021</v>
      </c>
      <c r="F292" s="17" t="s">
        <v>1028</v>
      </c>
      <c r="G292" s="17" t="s">
        <v>1036</v>
      </c>
      <c r="H292" s="30">
        <v>45756</v>
      </c>
      <c r="I292" s="30">
        <v>45758</v>
      </c>
      <c r="J292" s="25">
        <v>267525</v>
      </c>
      <c r="K292" s="18">
        <v>6</v>
      </c>
      <c r="L292" s="18">
        <v>11</v>
      </c>
      <c r="M292" s="18">
        <v>4</v>
      </c>
      <c r="N292" s="25">
        <v>108485</v>
      </c>
      <c r="O292" s="18">
        <v>2</v>
      </c>
      <c r="P292" t="str">
        <f t="shared" si="8"/>
        <v>Children</v>
      </c>
      <c r="Q292" t="str">
        <f t="shared" si="9"/>
        <v>High</v>
      </c>
      <c r="R292" t="str">
        <f>IF(OR(AND(Table1[[#This Row],[Diagnosis]]="Labour Complication",Table1[[#This Row],[Gender]]="M"), AND(Table1[[#This Row],[Diagnosis]]="Labour Complication",Table1[[#This Row],[Age]]&lt;15)),"Error","OK")</f>
        <v>OK</v>
      </c>
      <c r="S292" s="4">
        <f>Table1[[#This Row],[Bill_Amount]]+Table1[[#This Row],[Surgery_Cost]]</f>
        <v>376010</v>
      </c>
    </row>
    <row r="293" spans="1:19" x14ac:dyDescent="0.35">
      <c r="A293" s="19" t="s">
        <v>324</v>
      </c>
      <c r="B293" s="20" t="s">
        <v>824</v>
      </c>
      <c r="C293" s="21">
        <v>48</v>
      </c>
      <c r="D293" s="20" t="s">
        <v>1057</v>
      </c>
      <c r="E293" s="20" t="s">
        <v>1017</v>
      </c>
      <c r="F293" s="20" t="s">
        <v>1024</v>
      </c>
      <c r="G293" s="20" t="s">
        <v>1042</v>
      </c>
      <c r="H293" s="29">
        <v>45792</v>
      </c>
      <c r="I293" s="29">
        <v>45800</v>
      </c>
      <c r="J293" s="24">
        <v>92784</v>
      </c>
      <c r="K293" s="21">
        <v>9</v>
      </c>
      <c r="L293" s="21">
        <v>10</v>
      </c>
      <c r="M293" s="21">
        <v>3</v>
      </c>
      <c r="N293" s="24">
        <v>0</v>
      </c>
      <c r="O293" s="21">
        <v>8</v>
      </c>
      <c r="P293" t="str">
        <f t="shared" si="8"/>
        <v>Adults</v>
      </c>
      <c r="Q293" t="str">
        <f t="shared" si="9"/>
        <v>Low</v>
      </c>
      <c r="R293" t="str">
        <f>IF(OR(AND(Table1[[#This Row],[Diagnosis]]="Labour Complication",Table1[[#This Row],[Gender]]="M"), AND(Table1[[#This Row],[Diagnosis]]="Labour Complication",Table1[[#This Row],[Age]]&lt;15)),"Error","OK")</f>
        <v>OK</v>
      </c>
      <c r="S293" s="4">
        <f>Table1[[#This Row],[Bill_Amount]]+Table1[[#This Row],[Surgery_Cost]]</f>
        <v>92784</v>
      </c>
    </row>
    <row r="294" spans="1:19" x14ac:dyDescent="0.35">
      <c r="A294" s="16" t="s">
        <v>325</v>
      </c>
      <c r="B294" s="17" t="s">
        <v>825</v>
      </c>
      <c r="C294" s="18">
        <v>84</v>
      </c>
      <c r="D294" s="17" t="s">
        <v>1058</v>
      </c>
      <c r="E294" s="17" t="s">
        <v>1021</v>
      </c>
      <c r="F294" s="17" t="s">
        <v>1028</v>
      </c>
      <c r="G294" s="17" t="s">
        <v>1035</v>
      </c>
      <c r="H294" s="30">
        <v>45780</v>
      </c>
      <c r="I294" s="30">
        <v>45783</v>
      </c>
      <c r="J294" s="25">
        <v>489970</v>
      </c>
      <c r="K294" s="18">
        <v>6</v>
      </c>
      <c r="L294" s="18">
        <v>9</v>
      </c>
      <c r="M294" s="18">
        <v>2</v>
      </c>
      <c r="N294" s="25">
        <v>281731</v>
      </c>
      <c r="O294" s="18">
        <v>3</v>
      </c>
      <c r="P294" t="str">
        <f t="shared" si="8"/>
        <v>Older Adults</v>
      </c>
      <c r="Q294" t="str">
        <f t="shared" si="9"/>
        <v>High</v>
      </c>
      <c r="R294" t="str">
        <f>IF(OR(AND(Table1[[#This Row],[Diagnosis]]="Labour Complication",Table1[[#This Row],[Gender]]="M"), AND(Table1[[#This Row],[Diagnosis]]="Labour Complication",Table1[[#This Row],[Age]]&lt;15)),"Error","OK")</f>
        <v>OK</v>
      </c>
      <c r="S294" s="4">
        <f>Table1[[#This Row],[Bill_Amount]]+Table1[[#This Row],[Surgery_Cost]]</f>
        <v>771701</v>
      </c>
    </row>
    <row r="295" spans="1:19" x14ac:dyDescent="0.35">
      <c r="A295" s="16" t="s">
        <v>327</v>
      </c>
      <c r="B295" s="17" t="s">
        <v>827</v>
      </c>
      <c r="C295" s="18">
        <v>11</v>
      </c>
      <c r="D295" s="17" t="s">
        <v>1057</v>
      </c>
      <c r="E295" s="17" t="s">
        <v>1020</v>
      </c>
      <c r="F295" s="17" t="s">
        <v>1027</v>
      </c>
      <c r="G295" s="17" t="s">
        <v>1034</v>
      </c>
      <c r="H295" s="30">
        <v>45788</v>
      </c>
      <c r="I295" s="30">
        <v>45799</v>
      </c>
      <c r="J295" s="25">
        <v>52753</v>
      </c>
      <c r="K295" s="18">
        <v>7</v>
      </c>
      <c r="L295" s="18">
        <v>6</v>
      </c>
      <c r="M295" s="18">
        <v>1</v>
      </c>
      <c r="N295" s="25">
        <v>0</v>
      </c>
      <c r="O295" s="18">
        <v>11</v>
      </c>
      <c r="P295" t="str">
        <f t="shared" si="8"/>
        <v>Children</v>
      </c>
      <c r="Q295" t="str">
        <f t="shared" si="9"/>
        <v>Low</v>
      </c>
      <c r="R295" t="str">
        <f>IF(OR(AND(Table1[[#This Row],[Diagnosis]]="Labour Complication",Table1[[#This Row],[Gender]]="M"), AND(Table1[[#This Row],[Diagnosis]]="Labour Complication",Table1[[#This Row],[Age]]&lt;15)),"Error","OK")</f>
        <v>OK</v>
      </c>
      <c r="S295" s="4">
        <f>Table1[[#This Row],[Bill_Amount]]+Table1[[#This Row],[Surgery_Cost]]</f>
        <v>52753</v>
      </c>
    </row>
    <row r="296" spans="1:19" x14ac:dyDescent="0.35">
      <c r="A296" s="19" t="s">
        <v>328</v>
      </c>
      <c r="B296" s="20" t="s">
        <v>828</v>
      </c>
      <c r="C296" s="21">
        <v>71</v>
      </c>
      <c r="D296" s="20" t="s">
        <v>1058</v>
      </c>
      <c r="E296" s="20" t="s">
        <v>1017</v>
      </c>
      <c r="F296" s="20" t="s">
        <v>1024</v>
      </c>
      <c r="G296" s="20" t="s">
        <v>1042</v>
      </c>
      <c r="H296" s="29">
        <v>45745</v>
      </c>
      <c r="I296" s="29">
        <v>45760</v>
      </c>
      <c r="J296" s="24">
        <v>128391</v>
      </c>
      <c r="K296" s="21">
        <v>3</v>
      </c>
      <c r="L296" s="21">
        <v>19</v>
      </c>
      <c r="M296" s="21">
        <v>4</v>
      </c>
      <c r="N296" s="24">
        <v>0</v>
      </c>
      <c r="O296" s="21">
        <v>15</v>
      </c>
      <c r="P296" t="str">
        <f t="shared" si="8"/>
        <v>Older Adults</v>
      </c>
      <c r="Q296" t="str">
        <f t="shared" si="9"/>
        <v>Medium</v>
      </c>
      <c r="R296" t="str">
        <f>IF(OR(AND(Table1[[#This Row],[Diagnosis]]="Labour Complication",Table1[[#This Row],[Gender]]="M"), AND(Table1[[#This Row],[Diagnosis]]="Labour Complication",Table1[[#This Row],[Age]]&lt;15)),"Error","OK")</f>
        <v>OK</v>
      </c>
      <c r="S296" s="4">
        <f>Table1[[#This Row],[Bill_Amount]]+Table1[[#This Row],[Surgery_Cost]]</f>
        <v>128391</v>
      </c>
    </row>
    <row r="297" spans="1:19" x14ac:dyDescent="0.35">
      <c r="A297" s="16" t="s">
        <v>329</v>
      </c>
      <c r="B297" s="17" t="s">
        <v>829</v>
      </c>
      <c r="C297" s="18">
        <v>39</v>
      </c>
      <c r="D297" s="17" t="s">
        <v>1057</v>
      </c>
      <c r="E297" s="17" t="s">
        <v>1022</v>
      </c>
      <c r="F297" s="17" t="s">
        <v>1029</v>
      </c>
      <c r="G297" s="17" t="s">
        <v>1039</v>
      </c>
      <c r="H297" s="30">
        <v>45764</v>
      </c>
      <c r="I297" s="30">
        <v>45770</v>
      </c>
      <c r="J297" s="25">
        <v>174591</v>
      </c>
      <c r="K297" s="18">
        <v>8</v>
      </c>
      <c r="L297" s="18">
        <v>17</v>
      </c>
      <c r="M297" s="18">
        <v>3</v>
      </c>
      <c r="N297" s="25">
        <v>0</v>
      </c>
      <c r="O297" s="18">
        <v>6</v>
      </c>
      <c r="P297" t="str">
        <f t="shared" si="8"/>
        <v>Adults</v>
      </c>
      <c r="Q297" t="str">
        <f t="shared" si="9"/>
        <v>High</v>
      </c>
      <c r="R297" t="str">
        <f>IF(OR(AND(Table1[[#This Row],[Diagnosis]]="Labour Complication",Table1[[#This Row],[Gender]]="M"), AND(Table1[[#This Row],[Diagnosis]]="Labour Complication",Table1[[#This Row],[Age]]&lt;15)),"Error","OK")</f>
        <v>OK</v>
      </c>
      <c r="S297" s="4">
        <f>Table1[[#This Row],[Bill_Amount]]+Table1[[#This Row],[Surgery_Cost]]</f>
        <v>174591</v>
      </c>
    </row>
    <row r="298" spans="1:19" x14ac:dyDescent="0.35">
      <c r="A298" s="19" t="s">
        <v>330</v>
      </c>
      <c r="B298" s="20" t="s">
        <v>830</v>
      </c>
      <c r="C298" s="21">
        <v>80</v>
      </c>
      <c r="D298" s="20" t="s">
        <v>1058</v>
      </c>
      <c r="E298" s="20" t="s">
        <v>1017</v>
      </c>
      <c r="F298" s="20" t="s">
        <v>1024</v>
      </c>
      <c r="G298" s="20" t="s">
        <v>1042</v>
      </c>
      <c r="H298" s="29">
        <v>45749</v>
      </c>
      <c r="I298" s="29">
        <v>45757</v>
      </c>
      <c r="J298" s="24">
        <v>384994</v>
      </c>
      <c r="K298" s="21">
        <v>5</v>
      </c>
      <c r="L298" s="21">
        <v>8</v>
      </c>
      <c r="M298" s="21">
        <v>4</v>
      </c>
      <c r="N298" s="24">
        <v>0</v>
      </c>
      <c r="O298" s="21">
        <v>8</v>
      </c>
      <c r="P298" t="str">
        <f t="shared" si="8"/>
        <v>Older Adults</v>
      </c>
      <c r="Q298" t="str">
        <f t="shared" si="9"/>
        <v>High</v>
      </c>
      <c r="R298" t="str">
        <f>IF(OR(AND(Table1[[#This Row],[Diagnosis]]="Labour Complication",Table1[[#This Row],[Gender]]="M"), AND(Table1[[#This Row],[Diagnosis]]="Labour Complication",Table1[[#This Row],[Age]]&lt;15)),"Error","OK")</f>
        <v>OK</v>
      </c>
      <c r="S298" s="4">
        <f>Table1[[#This Row],[Bill_Amount]]+Table1[[#This Row],[Surgery_Cost]]</f>
        <v>384994</v>
      </c>
    </row>
    <row r="299" spans="1:19" x14ac:dyDescent="0.35">
      <c r="A299" s="16" t="s">
        <v>331</v>
      </c>
      <c r="B299" s="17" t="s">
        <v>831</v>
      </c>
      <c r="C299" s="18">
        <v>77</v>
      </c>
      <c r="D299" s="17" t="s">
        <v>1057</v>
      </c>
      <c r="E299" s="17" t="s">
        <v>1018</v>
      </c>
      <c r="F299" s="17" t="s">
        <v>1025</v>
      </c>
      <c r="G299" s="17" t="s">
        <v>1032</v>
      </c>
      <c r="H299" s="30">
        <v>45763</v>
      </c>
      <c r="I299" s="30">
        <v>45778</v>
      </c>
      <c r="J299" s="25">
        <v>312054</v>
      </c>
      <c r="K299" s="18">
        <v>9</v>
      </c>
      <c r="L299" s="18">
        <v>8</v>
      </c>
      <c r="M299" s="18">
        <v>1</v>
      </c>
      <c r="N299" s="25">
        <v>0</v>
      </c>
      <c r="O299" s="18">
        <v>15</v>
      </c>
      <c r="P299" t="str">
        <f t="shared" si="8"/>
        <v>Older Adults</v>
      </c>
      <c r="Q299" t="str">
        <f t="shared" si="9"/>
        <v>High</v>
      </c>
      <c r="R299" t="str">
        <f>IF(OR(AND(Table1[[#This Row],[Diagnosis]]="Labour Complication",Table1[[#This Row],[Gender]]="M"), AND(Table1[[#This Row],[Diagnosis]]="Labour Complication",Table1[[#This Row],[Age]]&lt;15)),"Error","OK")</f>
        <v>OK</v>
      </c>
      <c r="S299" s="4">
        <f>Table1[[#This Row],[Bill_Amount]]+Table1[[#This Row],[Surgery_Cost]]</f>
        <v>312054</v>
      </c>
    </row>
    <row r="300" spans="1:19" x14ac:dyDescent="0.35">
      <c r="A300" s="19" t="s">
        <v>332</v>
      </c>
      <c r="B300" s="20" t="s">
        <v>832</v>
      </c>
      <c r="C300" s="21">
        <v>19</v>
      </c>
      <c r="D300" s="20" t="s">
        <v>1058</v>
      </c>
      <c r="E300" s="20" t="s">
        <v>1019</v>
      </c>
      <c r="F300" s="20" t="s">
        <v>1026</v>
      </c>
      <c r="G300" s="20" t="s">
        <v>1038</v>
      </c>
      <c r="H300" s="29">
        <v>45780</v>
      </c>
      <c r="I300" s="29">
        <v>45791</v>
      </c>
      <c r="J300" s="24">
        <v>176845</v>
      </c>
      <c r="K300" s="21">
        <v>6</v>
      </c>
      <c r="L300" s="21">
        <v>17</v>
      </c>
      <c r="M300" s="21">
        <v>2</v>
      </c>
      <c r="N300" s="24">
        <v>0</v>
      </c>
      <c r="O300" s="21">
        <v>11</v>
      </c>
      <c r="P300" t="str">
        <f t="shared" si="8"/>
        <v>Teenagers</v>
      </c>
      <c r="Q300" t="str">
        <f t="shared" si="9"/>
        <v>High</v>
      </c>
      <c r="R300" t="str">
        <f>IF(OR(AND(Table1[[#This Row],[Diagnosis]]="Labour Complication",Table1[[#This Row],[Gender]]="M"), AND(Table1[[#This Row],[Diagnosis]]="Labour Complication",Table1[[#This Row],[Age]]&lt;15)),"Error","OK")</f>
        <v>OK</v>
      </c>
      <c r="S300" s="4">
        <f>Table1[[#This Row],[Bill_Amount]]+Table1[[#This Row],[Surgery_Cost]]</f>
        <v>176845</v>
      </c>
    </row>
    <row r="301" spans="1:19" x14ac:dyDescent="0.35">
      <c r="A301" s="16" t="s">
        <v>333</v>
      </c>
      <c r="B301" s="17" t="s">
        <v>833</v>
      </c>
      <c r="C301" s="18">
        <v>31</v>
      </c>
      <c r="D301" s="17" t="s">
        <v>1058</v>
      </c>
      <c r="E301" s="17" t="s">
        <v>1018</v>
      </c>
      <c r="F301" s="17" t="s">
        <v>1025</v>
      </c>
      <c r="G301" s="17" t="s">
        <v>1044</v>
      </c>
      <c r="H301" s="30">
        <v>45781</v>
      </c>
      <c r="I301" s="30">
        <v>45792</v>
      </c>
      <c r="J301" s="25">
        <v>234977</v>
      </c>
      <c r="K301" s="18">
        <v>2</v>
      </c>
      <c r="L301" s="18">
        <v>9</v>
      </c>
      <c r="M301" s="18">
        <v>4</v>
      </c>
      <c r="N301" s="25">
        <v>0</v>
      </c>
      <c r="O301" s="18">
        <v>11</v>
      </c>
      <c r="P301" t="str">
        <f t="shared" si="8"/>
        <v>Adults</v>
      </c>
      <c r="Q301" t="str">
        <f t="shared" si="9"/>
        <v>High</v>
      </c>
      <c r="R301" t="str">
        <f>IF(OR(AND(Table1[[#This Row],[Diagnosis]]="Labour Complication",Table1[[#This Row],[Gender]]="M"), AND(Table1[[#This Row],[Diagnosis]]="Labour Complication",Table1[[#This Row],[Age]]&lt;15)),"Error","OK")</f>
        <v>OK</v>
      </c>
      <c r="S301" s="4">
        <f>Table1[[#This Row],[Bill_Amount]]+Table1[[#This Row],[Surgery_Cost]]</f>
        <v>234977</v>
      </c>
    </row>
    <row r="302" spans="1:19" x14ac:dyDescent="0.35">
      <c r="A302" s="19" t="s">
        <v>334</v>
      </c>
      <c r="B302" s="20" t="s">
        <v>834</v>
      </c>
      <c r="C302" s="21">
        <v>68</v>
      </c>
      <c r="D302" s="20" t="s">
        <v>1058</v>
      </c>
      <c r="E302" s="20" t="s">
        <v>1016</v>
      </c>
      <c r="F302" s="20" t="s">
        <v>1023</v>
      </c>
      <c r="G302" s="20" t="s">
        <v>1030</v>
      </c>
      <c r="H302" s="29">
        <v>45762</v>
      </c>
      <c r="I302" s="29">
        <v>45774</v>
      </c>
      <c r="J302" s="24">
        <v>94886</v>
      </c>
      <c r="K302" s="21">
        <v>3</v>
      </c>
      <c r="L302" s="21">
        <v>1</v>
      </c>
      <c r="M302" s="21">
        <v>4</v>
      </c>
      <c r="N302" s="24">
        <v>0</v>
      </c>
      <c r="O302" s="21">
        <v>12</v>
      </c>
      <c r="P302" t="str">
        <f t="shared" si="8"/>
        <v>Older Adults</v>
      </c>
      <c r="Q302" t="str">
        <f t="shared" si="9"/>
        <v>Low</v>
      </c>
      <c r="R302" t="str">
        <f>IF(OR(AND(Table1[[#This Row],[Diagnosis]]="Labour Complication",Table1[[#This Row],[Gender]]="M"), AND(Table1[[#This Row],[Diagnosis]]="Labour Complication",Table1[[#This Row],[Age]]&lt;15)),"Error","OK")</f>
        <v>OK</v>
      </c>
      <c r="S302" s="4">
        <f>Table1[[#This Row],[Bill_Amount]]+Table1[[#This Row],[Surgery_Cost]]</f>
        <v>94886</v>
      </c>
    </row>
    <row r="303" spans="1:19" x14ac:dyDescent="0.35">
      <c r="A303" s="16" t="s">
        <v>335</v>
      </c>
      <c r="B303" s="17" t="s">
        <v>835</v>
      </c>
      <c r="C303" s="18">
        <v>65</v>
      </c>
      <c r="D303" s="17" t="s">
        <v>1057</v>
      </c>
      <c r="E303" s="17" t="s">
        <v>1019</v>
      </c>
      <c r="F303" s="17" t="s">
        <v>1026</v>
      </c>
      <c r="G303" s="17" t="s">
        <v>1038</v>
      </c>
      <c r="H303" s="30">
        <v>45802</v>
      </c>
      <c r="I303" s="30">
        <v>45812</v>
      </c>
      <c r="J303" s="25">
        <v>315985</v>
      </c>
      <c r="K303" s="18">
        <v>2</v>
      </c>
      <c r="L303" s="18">
        <v>12</v>
      </c>
      <c r="M303" s="18">
        <v>2</v>
      </c>
      <c r="N303" s="25">
        <v>0</v>
      </c>
      <c r="O303" s="18">
        <v>10</v>
      </c>
      <c r="P303" t="str">
        <f t="shared" si="8"/>
        <v>Older Adults</v>
      </c>
      <c r="Q303" t="str">
        <f t="shared" si="9"/>
        <v>High</v>
      </c>
      <c r="R303" t="str">
        <f>IF(OR(AND(Table1[[#This Row],[Diagnosis]]="Labour Complication",Table1[[#This Row],[Gender]]="M"), AND(Table1[[#This Row],[Diagnosis]]="Labour Complication",Table1[[#This Row],[Age]]&lt;15)),"Error","OK")</f>
        <v>OK</v>
      </c>
      <c r="S303" s="4">
        <f>Table1[[#This Row],[Bill_Amount]]+Table1[[#This Row],[Surgery_Cost]]</f>
        <v>315985</v>
      </c>
    </row>
    <row r="304" spans="1:19" x14ac:dyDescent="0.35">
      <c r="A304" s="19" t="s">
        <v>336</v>
      </c>
      <c r="B304" s="20" t="s">
        <v>836</v>
      </c>
      <c r="C304" s="21">
        <v>82</v>
      </c>
      <c r="D304" s="20" t="s">
        <v>1058</v>
      </c>
      <c r="E304" s="20" t="s">
        <v>1022</v>
      </c>
      <c r="F304" s="20" t="s">
        <v>1029</v>
      </c>
      <c r="G304" s="20" t="s">
        <v>1041</v>
      </c>
      <c r="H304" s="29">
        <v>45792</v>
      </c>
      <c r="I304" s="29">
        <v>45801</v>
      </c>
      <c r="J304" s="24">
        <v>72824</v>
      </c>
      <c r="K304" s="21">
        <v>6</v>
      </c>
      <c r="L304" s="21">
        <v>6</v>
      </c>
      <c r="M304" s="21">
        <v>4</v>
      </c>
      <c r="N304" s="24">
        <v>0</v>
      </c>
      <c r="O304" s="21">
        <v>9</v>
      </c>
      <c r="P304" t="str">
        <f t="shared" si="8"/>
        <v>Older Adults</v>
      </c>
      <c r="Q304" t="str">
        <f t="shared" si="9"/>
        <v>Low</v>
      </c>
      <c r="R304" t="str">
        <f>IF(OR(AND(Table1[[#This Row],[Diagnosis]]="Labour Complication",Table1[[#This Row],[Gender]]="M"), AND(Table1[[#This Row],[Diagnosis]]="Labour Complication",Table1[[#This Row],[Age]]&lt;15)),"Error","OK")</f>
        <v>OK</v>
      </c>
      <c r="S304" s="4">
        <f>Table1[[#This Row],[Bill_Amount]]+Table1[[#This Row],[Surgery_Cost]]</f>
        <v>72824</v>
      </c>
    </row>
    <row r="305" spans="1:19" x14ac:dyDescent="0.35">
      <c r="A305" s="16" t="s">
        <v>337</v>
      </c>
      <c r="B305" s="17" t="s">
        <v>837</v>
      </c>
      <c r="C305" s="18">
        <v>46</v>
      </c>
      <c r="D305" s="17" t="s">
        <v>1057</v>
      </c>
      <c r="E305" s="17" t="s">
        <v>1021</v>
      </c>
      <c r="F305" s="17" t="s">
        <v>1028</v>
      </c>
      <c r="G305" s="17" t="s">
        <v>1036</v>
      </c>
      <c r="H305" s="30">
        <v>45766</v>
      </c>
      <c r="I305" s="30">
        <v>45779</v>
      </c>
      <c r="J305" s="25">
        <v>58515</v>
      </c>
      <c r="K305" s="18">
        <v>8</v>
      </c>
      <c r="L305" s="18">
        <v>19</v>
      </c>
      <c r="M305" s="18">
        <v>1</v>
      </c>
      <c r="N305" s="25">
        <v>188839</v>
      </c>
      <c r="O305" s="18">
        <v>13</v>
      </c>
      <c r="P305" t="str">
        <f t="shared" si="8"/>
        <v>Adults</v>
      </c>
      <c r="Q305" t="str">
        <f t="shared" si="9"/>
        <v>Low</v>
      </c>
      <c r="R305" t="str">
        <f>IF(OR(AND(Table1[[#This Row],[Diagnosis]]="Labour Complication",Table1[[#This Row],[Gender]]="M"), AND(Table1[[#This Row],[Diagnosis]]="Labour Complication",Table1[[#This Row],[Age]]&lt;15)),"Error","OK")</f>
        <v>OK</v>
      </c>
      <c r="S305" s="4">
        <f>Table1[[#This Row],[Bill_Amount]]+Table1[[#This Row],[Surgery_Cost]]</f>
        <v>247354</v>
      </c>
    </row>
    <row r="306" spans="1:19" x14ac:dyDescent="0.35">
      <c r="A306" s="16" t="s">
        <v>339</v>
      </c>
      <c r="B306" s="17" t="s">
        <v>839</v>
      </c>
      <c r="C306" s="18">
        <v>70</v>
      </c>
      <c r="D306" s="17" t="s">
        <v>1058</v>
      </c>
      <c r="E306" s="17" t="s">
        <v>1017</v>
      </c>
      <c r="F306" s="17" t="s">
        <v>1024</v>
      </c>
      <c r="G306" s="17" t="s">
        <v>1042</v>
      </c>
      <c r="H306" s="30">
        <v>45790</v>
      </c>
      <c r="I306" s="30">
        <v>45792</v>
      </c>
      <c r="J306" s="25">
        <v>234706</v>
      </c>
      <c r="K306" s="18">
        <v>8</v>
      </c>
      <c r="L306" s="18">
        <v>19</v>
      </c>
      <c r="M306" s="18">
        <v>3</v>
      </c>
      <c r="N306" s="25">
        <v>0</v>
      </c>
      <c r="O306" s="18">
        <v>2</v>
      </c>
      <c r="P306" t="str">
        <f t="shared" si="8"/>
        <v>Older Adults</v>
      </c>
      <c r="Q306" t="str">
        <f t="shared" si="9"/>
        <v>High</v>
      </c>
      <c r="R306" t="str">
        <f>IF(OR(AND(Table1[[#This Row],[Diagnosis]]="Labour Complication",Table1[[#This Row],[Gender]]="M"), AND(Table1[[#This Row],[Diagnosis]]="Labour Complication",Table1[[#This Row],[Age]]&lt;15)),"Error","OK")</f>
        <v>OK</v>
      </c>
      <c r="S306" s="4">
        <f>Table1[[#This Row],[Bill_Amount]]+Table1[[#This Row],[Surgery_Cost]]</f>
        <v>234706</v>
      </c>
    </row>
    <row r="307" spans="1:19" x14ac:dyDescent="0.35">
      <c r="A307" s="19" t="s">
        <v>340</v>
      </c>
      <c r="B307" s="20" t="s">
        <v>840</v>
      </c>
      <c r="C307" s="21">
        <v>60</v>
      </c>
      <c r="D307" s="20" t="s">
        <v>1058</v>
      </c>
      <c r="E307" s="20" t="s">
        <v>1022</v>
      </c>
      <c r="F307" s="20" t="s">
        <v>1029</v>
      </c>
      <c r="G307" s="20" t="s">
        <v>1039</v>
      </c>
      <c r="H307" s="29">
        <v>45771</v>
      </c>
      <c r="I307" s="29">
        <v>45785</v>
      </c>
      <c r="J307" s="24">
        <v>408970</v>
      </c>
      <c r="K307" s="21">
        <v>9</v>
      </c>
      <c r="L307" s="21">
        <v>15</v>
      </c>
      <c r="M307" s="21">
        <v>1</v>
      </c>
      <c r="N307" s="24">
        <v>0</v>
      </c>
      <c r="O307" s="21">
        <v>14</v>
      </c>
      <c r="P307" t="str">
        <f t="shared" si="8"/>
        <v>Older Adults</v>
      </c>
      <c r="Q307" t="str">
        <f t="shared" si="9"/>
        <v>High</v>
      </c>
      <c r="R307" t="str">
        <f>IF(OR(AND(Table1[[#This Row],[Diagnosis]]="Labour Complication",Table1[[#This Row],[Gender]]="M"), AND(Table1[[#This Row],[Diagnosis]]="Labour Complication",Table1[[#This Row],[Age]]&lt;15)),"Error","OK")</f>
        <v>OK</v>
      </c>
      <c r="S307" s="4">
        <f>Table1[[#This Row],[Bill_Amount]]+Table1[[#This Row],[Surgery_Cost]]</f>
        <v>408970</v>
      </c>
    </row>
    <row r="308" spans="1:19" x14ac:dyDescent="0.35">
      <c r="A308" s="16" t="s">
        <v>341</v>
      </c>
      <c r="B308" s="17" t="s">
        <v>841</v>
      </c>
      <c r="C308" s="18">
        <v>59</v>
      </c>
      <c r="D308" s="17" t="s">
        <v>1057</v>
      </c>
      <c r="E308" s="17" t="s">
        <v>1022</v>
      </c>
      <c r="F308" s="17" t="s">
        <v>1029</v>
      </c>
      <c r="G308" s="17" t="s">
        <v>1041</v>
      </c>
      <c r="H308" s="30">
        <v>45768</v>
      </c>
      <c r="I308" s="30">
        <v>45772</v>
      </c>
      <c r="J308" s="25">
        <v>83082</v>
      </c>
      <c r="K308" s="18">
        <v>5</v>
      </c>
      <c r="L308" s="18">
        <v>14</v>
      </c>
      <c r="M308" s="18">
        <v>2</v>
      </c>
      <c r="N308" s="25">
        <v>0</v>
      </c>
      <c r="O308" s="18">
        <v>4</v>
      </c>
      <c r="P308" t="str">
        <f t="shared" si="8"/>
        <v>Adults</v>
      </c>
      <c r="Q308" t="str">
        <f t="shared" si="9"/>
        <v>Low</v>
      </c>
      <c r="R308" t="str">
        <f>IF(OR(AND(Table1[[#This Row],[Diagnosis]]="Labour Complication",Table1[[#This Row],[Gender]]="M"), AND(Table1[[#This Row],[Diagnosis]]="Labour Complication",Table1[[#This Row],[Age]]&lt;15)),"Error","OK")</f>
        <v>OK</v>
      </c>
      <c r="S308" s="4">
        <f>Table1[[#This Row],[Bill_Amount]]+Table1[[#This Row],[Surgery_Cost]]</f>
        <v>83082</v>
      </c>
    </row>
    <row r="309" spans="1:19" x14ac:dyDescent="0.35">
      <c r="A309" s="16" t="s">
        <v>343</v>
      </c>
      <c r="B309" s="17" t="s">
        <v>843</v>
      </c>
      <c r="C309" s="18">
        <v>70</v>
      </c>
      <c r="D309" s="17" t="s">
        <v>1058</v>
      </c>
      <c r="E309" s="17" t="s">
        <v>1021</v>
      </c>
      <c r="F309" s="17" t="s">
        <v>1028</v>
      </c>
      <c r="G309" s="17" t="s">
        <v>1036</v>
      </c>
      <c r="H309" s="30">
        <v>45768</v>
      </c>
      <c r="I309" s="30">
        <v>45778</v>
      </c>
      <c r="J309" s="25">
        <v>258784</v>
      </c>
      <c r="K309" s="18">
        <v>9</v>
      </c>
      <c r="L309" s="18">
        <v>10</v>
      </c>
      <c r="M309" s="18">
        <v>4</v>
      </c>
      <c r="N309" s="25">
        <v>180022</v>
      </c>
      <c r="O309" s="18">
        <v>10</v>
      </c>
      <c r="P309" t="str">
        <f t="shared" si="8"/>
        <v>Older Adults</v>
      </c>
      <c r="Q309" t="str">
        <f t="shared" si="9"/>
        <v>High</v>
      </c>
      <c r="R309" t="str">
        <f>IF(OR(AND(Table1[[#This Row],[Diagnosis]]="Labour Complication",Table1[[#This Row],[Gender]]="M"), AND(Table1[[#This Row],[Diagnosis]]="Labour Complication",Table1[[#This Row],[Age]]&lt;15)),"Error","OK")</f>
        <v>OK</v>
      </c>
      <c r="S309" s="4">
        <f>Table1[[#This Row],[Bill_Amount]]+Table1[[#This Row],[Surgery_Cost]]</f>
        <v>438806</v>
      </c>
    </row>
    <row r="310" spans="1:19" x14ac:dyDescent="0.35">
      <c r="A310" s="19" t="s">
        <v>344</v>
      </c>
      <c r="B310" s="20" t="s">
        <v>844</v>
      </c>
      <c r="C310" s="21">
        <v>25</v>
      </c>
      <c r="D310" s="20" t="s">
        <v>1058</v>
      </c>
      <c r="E310" s="20" t="s">
        <v>1018</v>
      </c>
      <c r="F310" s="20" t="s">
        <v>1025</v>
      </c>
      <c r="G310" s="20" t="s">
        <v>1037</v>
      </c>
      <c r="H310" s="29">
        <v>45798</v>
      </c>
      <c r="I310" s="29">
        <v>45812</v>
      </c>
      <c r="J310" s="24">
        <v>389162</v>
      </c>
      <c r="K310" s="21">
        <v>6</v>
      </c>
      <c r="L310" s="21">
        <v>1</v>
      </c>
      <c r="M310" s="21">
        <v>2</v>
      </c>
      <c r="N310" s="24">
        <v>0</v>
      </c>
      <c r="O310" s="21">
        <v>14</v>
      </c>
      <c r="P310" t="str">
        <f t="shared" si="8"/>
        <v>Adults</v>
      </c>
      <c r="Q310" t="str">
        <f t="shared" si="9"/>
        <v>High</v>
      </c>
      <c r="R310" t="str">
        <f>IF(OR(AND(Table1[[#This Row],[Diagnosis]]="Labour Complication",Table1[[#This Row],[Gender]]="M"), AND(Table1[[#This Row],[Diagnosis]]="Labour Complication",Table1[[#This Row],[Age]]&lt;15)),"Error","OK")</f>
        <v>OK</v>
      </c>
      <c r="S310" s="4">
        <f>Table1[[#This Row],[Bill_Amount]]+Table1[[#This Row],[Surgery_Cost]]</f>
        <v>389162</v>
      </c>
    </row>
    <row r="311" spans="1:19" x14ac:dyDescent="0.35">
      <c r="A311" s="16" t="s">
        <v>345</v>
      </c>
      <c r="B311" s="17" t="s">
        <v>845</v>
      </c>
      <c r="C311" s="18">
        <v>84</v>
      </c>
      <c r="D311" s="17" t="s">
        <v>1058</v>
      </c>
      <c r="E311" s="17" t="s">
        <v>1022</v>
      </c>
      <c r="F311" s="17" t="s">
        <v>1029</v>
      </c>
      <c r="G311" s="17" t="s">
        <v>1041</v>
      </c>
      <c r="H311" s="30">
        <v>45758</v>
      </c>
      <c r="I311" s="30">
        <v>45772</v>
      </c>
      <c r="J311" s="25">
        <v>75063</v>
      </c>
      <c r="K311" s="18">
        <v>2</v>
      </c>
      <c r="L311" s="18">
        <v>11</v>
      </c>
      <c r="M311" s="18">
        <v>2</v>
      </c>
      <c r="N311" s="25">
        <v>0</v>
      </c>
      <c r="O311" s="18">
        <v>14</v>
      </c>
      <c r="P311" t="str">
        <f t="shared" si="8"/>
        <v>Older Adults</v>
      </c>
      <c r="Q311" t="str">
        <f t="shared" si="9"/>
        <v>Low</v>
      </c>
      <c r="R311" t="str">
        <f>IF(OR(AND(Table1[[#This Row],[Diagnosis]]="Labour Complication",Table1[[#This Row],[Gender]]="M"), AND(Table1[[#This Row],[Diagnosis]]="Labour Complication",Table1[[#This Row],[Age]]&lt;15)),"Error","OK")</f>
        <v>OK</v>
      </c>
      <c r="S311" s="4">
        <f>Table1[[#This Row],[Bill_Amount]]+Table1[[#This Row],[Surgery_Cost]]</f>
        <v>75063</v>
      </c>
    </row>
    <row r="312" spans="1:19" x14ac:dyDescent="0.35">
      <c r="A312" s="19" t="s">
        <v>346</v>
      </c>
      <c r="B312" s="20" t="s">
        <v>846</v>
      </c>
      <c r="C312" s="21">
        <v>56</v>
      </c>
      <c r="D312" s="20" t="s">
        <v>1058</v>
      </c>
      <c r="E312" s="20" t="s">
        <v>1018</v>
      </c>
      <c r="F312" s="20" t="s">
        <v>1025</v>
      </c>
      <c r="G312" s="20" t="s">
        <v>1032</v>
      </c>
      <c r="H312" s="29">
        <v>45758</v>
      </c>
      <c r="I312" s="29">
        <v>45772</v>
      </c>
      <c r="J312" s="24">
        <v>242948</v>
      </c>
      <c r="K312" s="21">
        <v>9</v>
      </c>
      <c r="L312" s="21">
        <v>15</v>
      </c>
      <c r="M312" s="21">
        <v>3</v>
      </c>
      <c r="N312" s="24">
        <v>0</v>
      </c>
      <c r="O312" s="21">
        <v>14</v>
      </c>
      <c r="P312" t="str">
        <f t="shared" si="8"/>
        <v>Adults</v>
      </c>
      <c r="Q312" t="str">
        <f t="shared" si="9"/>
        <v>High</v>
      </c>
      <c r="R312" t="str">
        <f>IF(OR(AND(Table1[[#This Row],[Diagnosis]]="Labour Complication",Table1[[#This Row],[Gender]]="M"), AND(Table1[[#This Row],[Diagnosis]]="Labour Complication",Table1[[#This Row],[Age]]&lt;15)),"Error","OK")</f>
        <v>OK</v>
      </c>
      <c r="S312" s="4">
        <f>Table1[[#This Row],[Bill_Amount]]+Table1[[#This Row],[Surgery_Cost]]</f>
        <v>242948</v>
      </c>
    </row>
    <row r="313" spans="1:19" x14ac:dyDescent="0.35">
      <c r="A313" s="16" t="s">
        <v>347</v>
      </c>
      <c r="B313" s="17" t="s">
        <v>847</v>
      </c>
      <c r="C313" s="18">
        <v>24</v>
      </c>
      <c r="D313" s="17" t="s">
        <v>1058</v>
      </c>
      <c r="E313" s="17" t="s">
        <v>1020</v>
      </c>
      <c r="F313" s="17" t="s">
        <v>1027</v>
      </c>
      <c r="G313" s="17" t="s">
        <v>1034</v>
      </c>
      <c r="H313" s="30">
        <v>45775</v>
      </c>
      <c r="I313" s="30">
        <v>45783</v>
      </c>
      <c r="J313" s="25">
        <v>227752</v>
      </c>
      <c r="K313" s="18">
        <v>1</v>
      </c>
      <c r="L313" s="18">
        <v>9</v>
      </c>
      <c r="M313" s="18">
        <v>4</v>
      </c>
      <c r="N313" s="25">
        <v>0</v>
      </c>
      <c r="O313" s="18">
        <v>8</v>
      </c>
      <c r="P313" t="str">
        <f t="shared" si="8"/>
        <v>Adults</v>
      </c>
      <c r="Q313" t="str">
        <f t="shared" si="9"/>
        <v>High</v>
      </c>
      <c r="R313" t="str">
        <f>IF(OR(AND(Table1[[#This Row],[Diagnosis]]="Labour Complication",Table1[[#This Row],[Gender]]="M"), AND(Table1[[#This Row],[Diagnosis]]="Labour Complication",Table1[[#This Row],[Age]]&lt;15)),"Error","OK")</f>
        <v>OK</v>
      </c>
      <c r="S313" s="4">
        <f>Table1[[#This Row],[Bill_Amount]]+Table1[[#This Row],[Surgery_Cost]]</f>
        <v>227752</v>
      </c>
    </row>
    <row r="314" spans="1:19" x14ac:dyDescent="0.35">
      <c r="A314" s="19" t="s">
        <v>348</v>
      </c>
      <c r="B314" s="20" t="s">
        <v>848</v>
      </c>
      <c r="C314" s="21">
        <v>35</v>
      </c>
      <c r="D314" s="20" t="s">
        <v>1057</v>
      </c>
      <c r="E314" s="20" t="s">
        <v>1021</v>
      </c>
      <c r="F314" s="20" t="s">
        <v>1028</v>
      </c>
      <c r="G314" s="20" t="s">
        <v>1036</v>
      </c>
      <c r="H314" s="29">
        <v>45757</v>
      </c>
      <c r="I314" s="29">
        <v>45771</v>
      </c>
      <c r="J314" s="24">
        <v>322250</v>
      </c>
      <c r="K314" s="21">
        <v>4</v>
      </c>
      <c r="L314" s="21">
        <v>2</v>
      </c>
      <c r="M314" s="21">
        <v>4</v>
      </c>
      <c r="N314" s="24">
        <v>139727</v>
      </c>
      <c r="O314" s="21">
        <v>14</v>
      </c>
      <c r="P314" t="str">
        <f t="shared" si="8"/>
        <v>Adults</v>
      </c>
      <c r="Q314" t="str">
        <f t="shared" si="9"/>
        <v>High</v>
      </c>
      <c r="R314" t="str">
        <f>IF(OR(AND(Table1[[#This Row],[Diagnosis]]="Labour Complication",Table1[[#This Row],[Gender]]="M"), AND(Table1[[#This Row],[Diagnosis]]="Labour Complication",Table1[[#This Row],[Age]]&lt;15)),"Error","OK")</f>
        <v>OK</v>
      </c>
      <c r="S314" s="4">
        <f>Table1[[#This Row],[Bill_Amount]]+Table1[[#This Row],[Surgery_Cost]]</f>
        <v>461977</v>
      </c>
    </row>
    <row r="315" spans="1:19" x14ac:dyDescent="0.35">
      <c r="A315" s="16" t="s">
        <v>349</v>
      </c>
      <c r="B315" s="17" t="s">
        <v>849</v>
      </c>
      <c r="C315" s="18">
        <v>24</v>
      </c>
      <c r="D315" s="17" t="s">
        <v>1058</v>
      </c>
      <c r="E315" s="17" t="s">
        <v>1018</v>
      </c>
      <c r="F315" s="17" t="s">
        <v>1025</v>
      </c>
      <c r="G315" s="17" t="s">
        <v>1037</v>
      </c>
      <c r="H315" s="30">
        <v>45757</v>
      </c>
      <c r="I315" s="30">
        <v>45765</v>
      </c>
      <c r="J315" s="25">
        <v>365859</v>
      </c>
      <c r="K315" s="18">
        <v>7</v>
      </c>
      <c r="L315" s="18">
        <v>8</v>
      </c>
      <c r="M315" s="18">
        <v>2</v>
      </c>
      <c r="N315" s="25">
        <v>0</v>
      </c>
      <c r="O315" s="18">
        <v>8</v>
      </c>
      <c r="P315" t="str">
        <f t="shared" si="8"/>
        <v>Adults</v>
      </c>
      <c r="Q315" t="str">
        <f t="shared" si="9"/>
        <v>High</v>
      </c>
      <c r="R315" t="str">
        <f>IF(OR(AND(Table1[[#This Row],[Diagnosis]]="Labour Complication",Table1[[#This Row],[Gender]]="M"), AND(Table1[[#This Row],[Diagnosis]]="Labour Complication",Table1[[#This Row],[Age]]&lt;15)),"Error","OK")</f>
        <v>OK</v>
      </c>
      <c r="S315" s="4">
        <f>Table1[[#This Row],[Bill_Amount]]+Table1[[#This Row],[Surgery_Cost]]</f>
        <v>365859</v>
      </c>
    </row>
    <row r="316" spans="1:19" x14ac:dyDescent="0.35">
      <c r="A316" s="19" t="s">
        <v>350</v>
      </c>
      <c r="B316" s="20" t="s">
        <v>850</v>
      </c>
      <c r="C316" s="21">
        <v>85</v>
      </c>
      <c r="D316" s="20" t="s">
        <v>1058</v>
      </c>
      <c r="E316" s="20" t="s">
        <v>1018</v>
      </c>
      <c r="F316" s="20" t="s">
        <v>1025</v>
      </c>
      <c r="G316" s="20" t="s">
        <v>1037</v>
      </c>
      <c r="H316" s="29">
        <v>45755</v>
      </c>
      <c r="I316" s="29">
        <v>45758</v>
      </c>
      <c r="J316" s="24">
        <v>221924</v>
      </c>
      <c r="K316" s="21">
        <v>5</v>
      </c>
      <c r="L316" s="21">
        <v>13</v>
      </c>
      <c r="M316" s="21">
        <v>1</v>
      </c>
      <c r="N316" s="24">
        <v>0</v>
      </c>
      <c r="O316" s="21">
        <v>3</v>
      </c>
      <c r="P316" t="str">
        <f t="shared" si="8"/>
        <v>Older Adults</v>
      </c>
      <c r="Q316" t="str">
        <f t="shared" si="9"/>
        <v>High</v>
      </c>
      <c r="R316" t="str">
        <f>IF(OR(AND(Table1[[#This Row],[Diagnosis]]="Labour Complication",Table1[[#This Row],[Gender]]="M"), AND(Table1[[#This Row],[Diagnosis]]="Labour Complication",Table1[[#This Row],[Age]]&lt;15)),"Error","OK")</f>
        <v>OK</v>
      </c>
      <c r="S316" s="4">
        <f>Table1[[#This Row],[Bill_Amount]]+Table1[[#This Row],[Surgery_Cost]]</f>
        <v>221924</v>
      </c>
    </row>
    <row r="317" spans="1:19" x14ac:dyDescent="0.35">
      <c r="A317" s="16" t="s">
        <v>351</v>
      </c>
      <c r="B317" s="17" t="s">
        <v>851</v>
      </c>
      <c r="C317" s="18">
        <v>55</v>
      </c>
      <c r="D317" s="17" t="s">
        <v>1057</v>
      </c>
      <c r="E317" s="17" t="s">
        <v>1020</v>
      </c>
      <c r="F317" s="17" t="s">
        <v>1027</v>
      </c>
      <c r="G317" s="17" t="s">
        <v>1034</v>
      </c>
      <c r="H317" s="30">
        <v>45748</v>
      </c>
      <c r="I317" s="30">
        <v>45759</v>
      </c>
      <c r="J317" s="25">
        <v>426262</v>
      </c>
      <c r="K317" s="18">
        <v>1</v>
      </c>
      <c r="L317" s="18">
        <v>9</v>
      </c>
      <c r="M317" s="18">
        <v>1</v>
      </c>
      <c r="N317" s="25">
        <v>0</v>
      </c>
      <c r="O317" s="18">
        <v>11</v>
      </c>
      <c r="P317" t="str">
        <f t="shared" si="8"/>
        <v>Adults</v>
      </c>
      <c r="Q317" t="str">
        <f t="shared" si="9"/>
        <v>High</v>
      </c>
      <c r="R317" t="str">
        <f>IF(OR(AND(Table1[[#This Row],[Diagnosis]]="Labour Complication",Table1[[#This Row],[Gender]]="M"), AND(Table1[[#This Row],[Diagnosis]]="Labour Complication",Table1[[#This Row],[Age]]&lt;15)),"Error","OK")</f>
        <v>OK</v>
      </c>
      <c r="S317" s="4">
        <f>Table1[[#This Row],[Bill_Amount]]+Table1[[#This Row],[Surgery_Cost]]</f>
        <v>426262</v>
      </c>
    </row>
    <row r="318" spans="1:19" x14ac:dyDescent="0.35">
      <c r="A318" s="19" t="s">
        <v>352</v>
      </c>
      <c r="B318" s="20" t="s">
        <v>852</v>
      </c>
      <c r="C318" s="21">
        <v>46</v>
      </c>
      <c r="D318" s="20" t="s">
        <v>1058</v>
      </c>
      <c r="E318" s="20" t="s">
        <v>1021</v>
      </c>
      <c r="F318" s="20" t="s">
        <v>1028</v>
      </c>
      <c r="G318" s="20" t="s">
        <v>1036</v>
      </c>
      <c r="H318" s="29">
        <v>45781</v>
      </c>
      <c r="I318" s="29">
        <v>45790</v>
      </c>
      <c r="J318" s="24">
        <v>72206</v>
      </c>
      <c r="K318" s="21">
        <v>9</v>
      </c>
      <c r="L318" s="21">
        <v>15</v>
      </c>
      <c r="M318" s="21">
        <v>2</v>
      </c>
      <c r="N318" s="24">
        <v>106175</v>
      </c>
      <c r="O318" s="21">
        <v>9</v>
      </c>
      <c r="P318" t="str">
        <f t="shared" si="8"/>
        <v>Adults</v>
      </c>
      <c r="Q318" t="str">
        <f t="shared" si="9"/>
        <v>Low</v>
      </c>
      <c r="R318" t="str">
        <f>IF(OR(AND(Table1[[#This Row],[Diagnosis]]="Labour Complication",Table1[[#This Row],[Gender]]="M"), AND(Table1[[#This Row],[Diagnosis]]="Labour Complication",Table1[[#This Row],[Age]]&lt;15)),"Error","OK")</f>
        <v>OK</v>
      </c>
      <c r="S318" s="4">
        <f>Table1[[#This Row],[Bill_Amount]]+Table1[[#This Row],[Surgery_Cost]]</f>
        <v>178381</v>
      </c>
    </row>
    <row r="319" spans="1:19" x14ac:dyDescent="0.35">
      <c r="A319" s="16" t="s">
        <v>353</v>
      </c>
      <c r="B319" s="17" t="s">
        <v>853</v>
      </c>
      <c r="C319" s="18">
        <v>10</v>
      </c>
      <c r="D319" s="17" t="s">
        <v>1058</v>
      </c>
      <c r="E319" s="17" t="s">
        <v>1016</v>
      </c>
      <c r="F319" s="17" t="s">
        <v>1023</v>
      </c>
      <c r="G319" s="17" t="s">
        <v>1040</v>
      </c>
      <c r="H319" s="30">
        <v>45798</v>
      </c>
      <c r="I319" s="30">
        <v>45812</v>
      </c>
      <c r="J319" s="25">
        <v>80072</v>
      </c>
      <c r="K319" s="18">
        <v>4</v>
      </c>
      <c r="L319" s="18">
        <v>11</v>
      </c>
      <c r="M319" s="18">
        <v>4</v>
      </c>
      <c r="N319" s="25">
        <v>0</v>
      </c>
      <c r="O319" s="18">
        <v>14</v>
      </c>
      <c r="P319" t="str">
        <f t="shared" si="8"/>
        <v>Children</v>
      </c>
      <c r="Q319" t="str">
        <f t="shared" si="9"/>
        <v>Low</v>
      </c>
      <c r="R319" t="str">
        <f>IF(OR(AND(Table1[[#This Row],[Diagnosis]]="Labour Complication",Table1[[#This Row],[Gender]]="M"), AND(Table1[[#This Row],[Diagnosis]]="Labour Complication",Table1[[#This Row],[Age]]&lt;15)),"Error","OK")</f>
        <v>OK</v>
      </c>
      <c r="S319" s="4">
        <f>Table1[[#This Row],[Bill_Amount]]+Table1[[#This Row],[Surgery_Cost]]</f>
        <v>80072</v>
      </c>
    </row>
    <row r="320" spans="1:19" x14ac:dyDescent="0.35">
      <c r="A320" s="19" t="s">
        <v>354</v>
      </c>
      <c r="B320" s="20" t="s">
        <v>854</v>
      </c>
      <c r="C320" s="21">
        <v>87</v>
      </c>
      <c r="D320" s="20" t="s">
        <v>1057</v>
      </c>
      <c r="E320" s="20" t="s">
        <v>1019</v>
      </c>
      <c r="F320" s="20" t="s">
        <v>1026</v>
      </c>
      <c r="G320" s="20" t="s">
        <v>1033</v>
      </c>
      <c r="H320" s="29">
        <v>45770</v>
      </c>
      <c r="I320" s="29">
        <v>45784</v>
      </c>
      <c r="J320" s="24">
        <v>443162</v>
      </c>
      <c r="K320" s="21">
        <v>3</v>
      </c>
      <c r="L320" s="21">
        <v>5</v>
      </c>
      <c r="M320" s="21">
        <v>4</v>
      </c>
      <c r="N320" s="24">
        <v>0</v>
      </c>
      <c r="O320" s="21">
        <v>14</v>
      </c>
      <c r="P320" t="str">
        <f t="shared" si="8"/>
        <v>Older Adults</v>
      </c>
      <c r="Q320" t="str">
        <f t="shared" si="9"/>
        <v>High</v>
      </c>
      <c r="R320" t="str">
        <f>IF(OR(AND(Table1[[#This Row],[Diagnosis]]="Labour Complication",Table1[[#This Row],[Gender]]="M"), AND(Table1[[#This Row],[Diagnosis]]="Labour Complication",Table1[[#This Row],[Age]]&lt;15)),"Error","OK")</f>
        <v>OK</v>
      </c>
      <c r="S320" s="4">
        <f>Table1[[#This Row],[Bill_Amount]]+Table1[[#This Row],[Surgery_Cost]]</f>
        <v>443162</v>
      </c>
    </row>
    <row r="321" spans="1:19" x14ac:dyDescent="0.35">
      <c r="A321" s="16" t="s">
        <v>355</v>
      </c>
      <c r="B321" s="17" t="s">
        <v>855</v>
      </c>
      <c r="C321" s="18">
        <v>87</v>
      </c>
      <c r="D321" s="17" t="s">
        <v>1058</v>
      </c>
      <c r="E321" s="17" t="s">
        <v>1017</v>
      </c>
      <c r="F321" s="17" t="s">
        <v>1024</v>
      </c>
      <c r="G321" s="17" t="s">
        <v>1042</v>
      </c>
      <c r="H321" s="30">
        <v>45792</v>
      </c>
      <c r="I321" s="30">
        <v>45807</v>
      </c>
      <c r="J321" s="25">
        <v>368543</v>
      </c>
      <c r="K321" s="18">
        <v>4</v>
      </c>
      <c r="L321" s="18">
        <v>10</v>
      </c>
      <c r="M321" s="18">
        <v>3</v>
      </c>
      <c r="N321" s="25">
        <v>0</v>
      </c>
      <c r="O321" s="18">
        <v>15</v>
      </c>
      <c r="P321" t="str">
        <f t="shared" si="8"/>
        <v>Older Adults</v>
      </c>
      <c r="Q321" t="str">
        <f t="shared" si="9"/>
        <v>High</v>
      </c>
      <c r="R321" t="str">
        <f>IF(OR(AND(Table1[[#This Row],[Diagnosis]]="Labour Complication",Table1[[#This Row],[Gender]]="M"), AND(Table1[[#This Row],[Diagnosis]]="Labour Complication",Table1[[#This Row],[Age]]&lt;15)),"Error","OK")</f>
        <v>OK</v>
      </c>
      <c r="S321" s="4">
        <f>Table1[[#This Row],[Bill_Amount]]+Table1[[#This Row],[Surgery_Cost]]</f>
        <v>368543</v>
      </c>
    </row>
    <row r="322" spans="1:19" x14ac:dyDescent="0.35">
      <c r="A322" s="16" t="s">
        <v>357</v>
      </c>
      <c r="B322" s="17" t="s">
        <v>857</v>
      </c>
      <c r="C322" s="18">
        <v>78</v>
      </c>
      <c r="D322" s="17" t="s">
        <v>1057</v>
      </c>
      <c r="E322" s="17" t="s">
        <v>1020</v>
      </c>
      <c r="F322" s="17" t="s">
        <v>1027</v>
      </c>
      <c r="G322" s="17" t="s">
        <v>1034</v>
      </c>
      <c r="H322" s="30">
        <v>45791</v>
      </c>
      <c r="I322" s="30">
        <v>45802</v>
      </c>
      <c r="J322" s="25">
        <v>66979</v>
      </c>
      <c r="K322" s="18">
        <v>5</v>
      </c>
      <c r="L322" s="18">
        <v>3</v>
      </c>
      <c r="M322" s="18">
        <v>1</v>
      </c>
      <c r="N322" s="25">
        <v>0</v>
      </c>
      <c r="O322" s="18">
        <v>11</v>
      </c>
      <c r="P322" t="str">
        <f t="shared" ref="P322:P385" si="10">IF(C322&lt;=12,"Children", IF(C322&lt;=19,"Teenagers", IF(C322&lt;60, "Adults","Older Adults")))</f>
        <v>Older Adults</v>
      </c>
      <c r="Q322" t="str">
        <f t="shared" ref="Q322:Q385" si="11">IF(J322&lt;100000,"Low", IF(J322&lt;150000,"Medium","High"))</f>
        <v>Low</v>
      </c>
      <c r="R322" t="str">
        <f>IF(OR(AND(Table1[[#This Row],[Diagnosis]]="Labour Complication",Table1[[#This Row],[Gender]]="M"), AND(Table1[[#This Row],[Diagnosis]]="Labour Complication",Table1[[#This Row],[Age]]&lt;15)),"Error","OK")</f>
        <v>OK</v>
      </c>
      <c r="S322" s="4">
        <f>Table1[[#This Row],[Bill_Amount]]+Table1[[#This Row],[Surgery_Cost]]</f>
        <v>66979</v>
      </c>
    </row>
    <row r="323" spans="1:19" x14ac:dyDescent="0.35">
      <c r="A323" s="19" t="s">
        <v>358</v>
      </c>
      <c r="B323" s="20" t="s">
        <v>858</v>
      </c>
      <c r="C323" s="21">
        <v>10</v>
      </c>
      <c r="D323" s="20" t="s">
        <v>1057</v>
      </c>
      <c r="E323" s="20" t="s">
        <v>1021</v>
      </c>
      <c r="F323" s="20" t="s">
        <v>1028</v>
      </c>
      <c r="G323" s="20" t="s">
        <v>1036</v>
      </c>
      <c r="H323" s="29">
        <v>45802</v>
      </c>
      <c r="I323" s="29">
        <v>45809</v>
      </c>
      <c r="J323" s="24">
        <v>282752</v>
      </c>
      <c r="K323" s="21">
        <v>8</v>
      </c>
      <c r="L323" s="21">
        <v>17</v>
      </c>
      <c r="M323" s="21">
        <v>1</v>
      </c>
      <c r="N323" s="24">
        <v>191837</v>
      </c>
      <c r="O323" s="21">
        <v>7</v>
      </c>
      <c r="P323" t="str">
        <f t="shared" si="10"/>
        <v>Children</v>
      </c>
      <c r="Q323" t="str">
        <f t="shared" si="11"/>
        <v>High</v>
      </c>
      <c r="R323" t="str">
        <f>IF(OR(AND(Table1[[#This Row],[Diagnosis]]="Labour Complication",Table1[[#This Row],[Gender]]="M"), AND(Table1[[#This Row],[Diagnosis]]="Labour Complication",Table1[[#This Row],[Age]]&lt;15)),"Error","OK")</f>
        <v>OK</v>
      </c>
      <c r="S323" s="4">
        <f>Table1[[#This Row],[Bill_Amount]]+Table1[[#This Row],[Surgery_Cost]]</f>
        <v>474589</v>
      </c>
    </row>
    <row r="324" spans="1:19" x14ac:dyDescent="0.35">
      <c r="A324" s="16" t="s">
        <v>359</v>
      </c>
      <c r="B324" s="17" t="s">
        <v>859</v>
      </c>
      <c r="C324" s="18">
        <v>36</v>
      </c>
      <c r="D324" s="17" t="s">
        <v>1057</v>
      </c>
      <c r="E324" s="17" t="s">
        <v>1020</v>
      </c>
      <c r="F324" s="17" t="s">
        <v>1027</v>
      </c>
      <c r="G324" s="17" t="s">
        <v>1043</v>
      </c>
      <c r="H324" s="30">
        <v>45788</v>
      </c>
      <c r="I324" s="30">
        <v>45795</v>
      </c>
      <c r="J324" s="25">
        <v>390556</v>
      </c>
      <c r="K324" s="18">
        <v>3</v>
      </c>
      <c r="L324" s="18">
        <v>17</v>
      </c>
      <c r="M324" s="18">
        <v>4</v>
      </c>
      <c r="N324" s="25">
        <v>0</v>
      </c>
      <c r="O324" s="18">
        <v>7</v>
      </c>
      <c r="P324" t="str">
        <f t="shared" si="10"/>
        <v>Adults</v>
      </c>
      <c r="Q324" t="str">
        <f t="shared" si="11"/>
        <v>High</v>
      </c>
      <c r="R324" t="str">
        <f>IF(OR(AND(Table1[[#This Row],[Diagnosis]]="Labour Complication",Table1[[#This Row],[Gender]]="M"), AND(Table1[[#This Row],[Diagnosis]]="Labour Complication",Table1[[#This Row],[Age]]&lt;15)),"Error","OK")</f>
        <v>OK</v>
      </c>
      <c r="S324" s="4">
        <f>Table1[[#This Row],[Bill_Amount]]+Table1[[#This Row],[Surgery_Cost]]</f>
        <v>390556</v>
      </c>
    </row>
    <row r="325" spans="1:19" x14ac:dyDescent="0.35">
      <c r="A325" s="19" t="s">
        <v>360</v>
      </c>
      <c r="B325" s="20" t="s">
        <v>860</v>
      </c>
      <c r="C325" s="21">
        <v>64</v>
      </c>
      <c r="D325" s="20" t="s">
        <v>1058</v>
      </c>
      <c r="E325" s="20" t="s">
        <v>1018</v>
      </c>
      <c r="F325" s="20" t="s">
        <v>1025</v>
      </c>
      <c r="G325" s="20" t="s">
        <v>1032</v>
      </c>
      <c r="H325" s="29">
        <v>45772</v>
      </c>
      <c r="I325" s="29">
        <v>45785</v>
      </c>
      <c r="J325" s="24">
        <v>147542</v>
      </c>
      <c r="K325" s="21">
        <v>1</v>
      </c>
      <c r="L325" s="21">
        <v>6</v>
      </c>
      <c r="M325" s="21">
        <v>2</v>
      </c>
      <c r="N325" s="24">
        <v>0</v>
      </c>
      <c r="O325" s="21">
        <v>13</v>
      </c>
      <c r="P325" t="str">
        <f t="shared" si="10"/>
        <v>Older Adults</v>
      </c>
      <c r="Q325" t="str">
        <f t="shared" si="11"/>
        <v>Medium</v>
      </c>
      <c r="R325" t="str">
        <f>IF(OR(AND(Table1[[#This Row],[Diagnosis]]="Labour Complication",Table1[[#This Row],[Gender]]="M"), AND(Table1[[#This Row],[Diagnosis]]="Labour Complication",Table1[[#This Row],[Age]]&lt;15)),"Error","OK")</f>
        <v>OK</v>
      </c>
      <c r="S325" s="4">
        <f>Table1[[#This Row],[Bill_Amount]]+Table1[[#This Row],[Surgery_Cost]]</f>
        <v>147542</v>
      </c>
    </row>
    <row r="326" spans="1:19" x14ac:dyDescent="0.35">
      <c r="A326" s="16" t="s">
        <v>361</v>
      </c>
      <c r="B326" s="17" t="s">
        <v>861</v>
      </c>
      <c r="C326" s="18">
        <v>34</v>
      </c>
      <c r="D326" s="17" t="s">
        <v>1058</v>
      </c>
      <c r="E326" s="17" t="s">
        <v>1018</v>
      </c>
      <c r="F326" s="17" t="s">
        <v>1025</v>
      </c>
      <c r="G326" s="17" t="s">
        <v>1044</v>
      </c>
      <c r="H326" s="30">
        <v>45747</v>
      </c>
      <c r="I326" s="30">
        <v>45753</v>
      </c>
      <c r="J326" s="25">
        <v>456304</v>
      </c>
      <c r="K326" s="18">
        <v>5</v>
      </c>
      <c r="L326" s="18">
        <v>6</v>
      </c>
      <c r="M326" s="18">
        <v>3</v>
      </c>
      <c r="N326" s="25">
        <v>0</v>
      </c>
      <c r="O326" s="18">
        <v>6</v>
      </c>
      <c r="P326" t="str">
        <f t="shared" si="10"/>
        <v>Adults</v>
      </c>
      <c r="Q326" t="str">
        <f t="shared" si="11"/>
        <v>High</v>
      </c>
      <c r="R326" t="str">
        <f>IF(OR(AND(Table1[[#This Row],[Diagnosis]]="Labour Complication",Table1[[#This Row],[Gender]]="M"), AND(Table1[[#This Row],[Diagnosis]]="Labour Complication",Table1[[#This Row],[Age]]&lt;15)),"Error","OK")</f>
        <v>OK</v>
      </c>
      <c r="S326" s="4">
        <f>Table1[[#This Row],[Bill_Amount]]+Table1[[#This Row],[Surgery_Cost]]</f>
        <v>456304</v>
      </c>
    </row>
    <row r="327" spans="1:19" x14ac:dyDescent="0.35">
      <c r="A327" s="19" t="s">
        <v>362</v>
      </c>
      <c r="B327" s="20" t="s">
        <v>862</v>
      </c>
      <c r="C327" s="21">
        <v>63</v>
      </c>
      <c r="D327" s="20" t="s">
        <v>1057</v>
      </c>
      <c r="E327" s="20" t="s">
        <v>1019</v>
      </c>
      <c r="F327" s="20" t="s">
        <v>1026</v>
      </c>
      <c r="G327" s="20" t="s">
        <v>1033</v>
      </c>
      <c r="H327" s="29">
        <v>45749</v>
      </c>
      <c r="I327" s="29">
        <v>45755</v>
      </c>
      <c r="J327" s="24">
        <v>413845</v>
      </c>
      <c r="K327" s="21">
        <v>4</v>
      </c>
      <c r="L327" s="21">
        <v>5</v>
      </c>
      <c r="M327" s="21">
        <v>3</v>
      </c>
      <c r="N327" s="24">
        <v>0</v>
      </c>
      <c r="O327" s="21">
        <v>6</v>
      </c>
      <c r="P327" t="str">
        <f t="shared" si="10"/>
        <v>Older Adults</v>
      </c>
      <c r="Q327" t="str">
        <f t="shared" si="11"/>
        <v>High</v>
      </c>
      <c r="R327" t="str">
        <f>IF(OR(AND(Table1[[#This Row],[Diagnosis]]="Labour Complication",Table1[[#This Row],[Gender]]="M"), AND(Table1[[#This Row],[Diagnosis]]="Labour Complication",Table1[[#This Row],[Age]]&lt;15)),"Error","OK")</f>
        <v>OK</v>
      </c>
      <c r="S327" s="4">
        <f>Table1[[#This Row],[Bill_Amount]]+Table1[[#This Row],[Surgery_Cost]]</f>
        <v>413845</v>
      </c>
    </row>
    <row r="328" spans="1:19" x14ac:dyDescent="0.35">
      <c r="A328" s="19" t="s">
        <v>364</v>
      </c>
      <c r="B328" s="20" t="s">
        <v>864</v>
      </c>
      <c r="C328" s="21">
        <v>41</v>
      </c>
      <c r="D328" s="20" t="s">
        <v>1058</v>
      </c>
      <c r="E328" s="20" t="s">
        <v>1018</v>
      </c>
      <c r="F328" s="20" t="s">
        <v>1025</v>
      </c>
      <c r="G328" s="20" t="s">
        <v>1032</v>
      </c>
      <c r="H328" s="29">
        <v>45796</v>
      </c>
      <c r="I328" s="29">
        <v>45810</v>
      </c>
      <c r="J328" s="24">
        <v>407527</v>
      </c>
      <c r="K328" s="21">
        <v>2</v>
      </c>
      <c r="L328" s="21">
        <v>2</v>
      </c>
      <c r="M328" s="21">
        <v>3</v>
      </c>
      <c r="N328" s="24">
        <v>0</v>
      </c>
      <c r="O328" s="21">
        <v>14</v>
      </c>
      <c r="P328" t="str">
        <f t="shared" si="10"/>
        <v>Adults</v>
      </c>
      <c r="Q328" t="str">
        <f t="shared" si="11"/>
        <v>High</v>
      </c>
      <c r="R328" t="str">
        <f>IF(OR(AND(Table1[[#This Row],[Diagnosis]]="Labour Complication",Table1[[#This Row],[Gender]]="M"), AND(Table1[[#This Row],[Diagnosis]]="Labour Complication",Table1[[#This Row],[Age]]&lt;15)),"Error","OK")</f>
        <v>OK</v>
      </c>
      <c r="S328" s="4">
        <f>Table1[[#This Row],[Bill_Amount]]+Table1[[#This Row],[Surgery_Cost]]</f>
        <v>407527</v>
      </c>
    </row>
    <row r="329" spans="1:19" x14ac:dyDescent="0.35">
      <c r="A329" s="16" t="s">
        <v>365</v>
      </c>
      <c r="B329" s="17" t="s">
        <v>865</v>
      </c>
      <c r="C329" s="18">
        <v>38</v>
      </c>
      <c r="D329" s="17" t="s">
        <v>1058</v>
      </c>
      <c r="E329" s="17" t="s">
        <v>1018</v>
      </c>
      <c r="F329" s="17" t="s">
        <v>1025</v>
      </c>
      <c r="G329" s="17" t="s">
        <v>1044</v>
      </c>
      <c r="H329" s="30">
        <v>45793</v>
      </c>
      <c r="I329" s="30">
        <v>45803</v>
      </c>
      <c r="J329" s="25">
        <v>334253</v>
      </c>
      <c r="K329" s="18">
        <v>1</v>
      </c>
      <c r="L329" s="18">
        <v>2</v>
      </c>
      <c r="M329" s="18">
        <v>3</v>
      </c>
      <c r="N329" s="25">
        <v>0</v>
      </c>
      <c r="O329" s="18">
        <v>10</v>
      </c>
      <c r="P329" t="str">
        <f t="shared" si="10"/>
        <v>Adults</v>
      </c>
      <c r="Q329" t="str">
        <f t="shared" si="11"/>
        <v>High</v>
      </c>
      <c r="R329" t="str">
        <f>IF(OR(AND(Table1[[#This Row],[Diagnosis]]="Labour Complication",Table1[[#This Row],[Gender]]="M"), AND(Table1[[#This Row],[Diagnosis]]="Labour Complication",Table1[[#This Row],[Age]]&lt;15)),"Error","OK")</f>
        <v>OK</v>
      </c>
      <c r="S329" s="4">
        <f>Table1[[#This Row],[Bill_Amount]]+Table1[[#This Row],[Surgery_Cost]]</f>
        <v>334253</v>
      </c>
    </row>
    <row r="330" spans="1:19" x14ac:dyDescent="0.35">
      <c r="A330" s="19" t="s">
        <v>366</v>
      </c>
      <c r="B330" s="20" t="s">
        <v>866</v>
      </c>
      <c r="C330" s="21">
        <v>82</v>
      </c>
      <c r="D330" s="20" t="s">
        <v>1057</v>
      </c>
      <c r="E330" s="20" t="s">
        <v>1016</v>
      </c>
      <c r="F330" s="20" t="s">
        <v>1023</v>
      </c>
      <c r="G330" s="20" t="s">
        <v>1040</v>
      </c>
      <c r="H330" s="29">
        <v>45755</v>
      </c>
      <c r="I330" s="29">
        <v>45768</v>
      </c>
      <c r="J330" s="24">
        <v>417116</v>
      </c>
      <c r="K330" s="21">
        <v>1</v>
      </c>
      <c r="L330" s="21">
        <v>12</v>
      </c>
      <c r="M330" s="21">
        <v>2</v>
      </c>
      <c r="N330" s="24">
        <v>0</v>
      </c>
      <c r="O330" s="21">
        <v>13</v>
      </c>
      <c r="P330" t="str">
        <f t="shared" si="10"/>
        <v>Older Adults</v>
      </c>
      <c r="Q330" t="str">
        <f t="shared" si="11"/>
        <v>High</v>
      </c>
      <c r="R330" t="str">
        <f>IF(OR(AND(Table1[[#This Row],[Diagnosis]]="Labour Complication",Table1[[#This Row],[Gender]]="M"), AND(Table1[[#This Row],[Diagnosis]]="Labour Complication",Table1[[#This Row],[Age]]&lt;15)),"Error","OK")</f>
        <v>OK</v>
      </c>
      <c r="S330" s="4">
        <f>Table1[[#This Row],[Bill_Amount]]+Table1[[#This Row],[Surgery_Cost]]</f>
        <v>417116</v>
      </c>
    </row>
    <row r="331" spans="1:19" x14ac:dyDescent="0.35">
      <c r="A331" s="16" t="s">
        <v>367</v>
      </c>
      <c r="B331" s="17" t="s">
        <v>867</v>
      </c>
      <c r="C331" s="18">
        <v>26</v>
      </c>
      <c r="D331" s="17" t="s">
        <v>1057</v>
      </c>
      <c r="E331" s="17" t="s">
        <v>1019</v>
      </c>
      <c r="F331" s="17" t="s">
        <v>1026</v>
      </c>
      <c r="G331" s="17" t="s">
        <v>1033</v>
      </c>
      <c r="H331" s="30">
        <v>45759</v>
      </c>
      <c r="I331" s="30">
        <v>45764</v>
      </c>
      <c r="J331" s="25">
        <v>113628</v>
      </c>
      <c r="K331" s="18">
        <v>5</v>
      </c>
      <c r="L331" s="18">
        <v>4</v>
      </c>
      <c r="M331" s="18">
        <v>4</v>
      </c>
      <c r="N331" s="25">
        <v>0</v>
      </c>
      <c r="O331" s="18">
        <v>5</v>
      </c>
      <c r="P331" t="str">
        <f t="shared" si="10"/>
        <v>Adults</v>
      </c>
      <c r="Q331" t="str">
        <f t="shared" si="11"/>
        <v>Medium</v>
      </c>
      <c r="R331" t="str">
        <f>IF(OR(AND(Table1[[#This Row],[Diagnosis]]="Labour Complication",Table1[[#This Row],[Gender]]="M"), AND(Table1[[#This Row],[Diagnosis]]="Labour Complication",Table1[[#This Row],[Age]]&lt;15)),"Error","OK")</f>
        <v>OK</v>
      </c>
      <c r="S331" s="4">
        <f>Table1[[#This Row],[Bill_Amount]]+Table1[[#This Row],[Surgery_Cost]]</f>
        <v>113628</v>
      </c>
    </row>
    <row r="332" spans="1:19" x14ac:dyDescent="0.35">
      <c r="A332" s="19" t="s">
        <v>368</v>
      </c>
      <c r="B332" s="20" t="s">
        <v>868</v>
      </c>
      <c r="C332" s="21">
        <v>47</v>
      </c>
      <c r="D332" s="20" t="s">
        <v>1058</v>
      </c>
      <c r="E332" s="20" t="s">
        <v>1022</v>
      </c>
      <c r="F332" s="20" t="s">
        <v>1029</v>
      </c>
      <c r="G332" s="20" t="s">
        <v>1041</v>
      </c>
      <c r="H332" s="29">
        <v>45771</v>
      </c>
      <c r="I332" s="29">
        <v>45780</v>
      </c>
      <c r="J332" s="24">
        <v>63780</v>
      </c>
      <c r="K332" s="21">
        <v>7</v>
      </c>
      <c r="L332" s="21">
        <v>15</v>
      </c>
      <c r="M332" s="21">
        <v>2</v>
      </c>
      <c r="N332" s="24">
        <v>0</v>
      </c>
      <c r="O332" s="21">
        <v>9</v>
      </c>
      <c r="P332" t="str">
        <f t="shared" si="10"/>
        <v>Adults</v>
      </c>
      <c r="Q332" t="str">
        <f t="shared" si="11"/>
        <v>Low</v>
      </c>
      <c r="R332" t="str">
        <f>IF(OR(AND(Table1[[#This Row],[Diagnosis]]="Labour Complication",Table1[[#This Row],[Gender]]="M"), AND(Table1[[#This Row],[Diagnosis]]="Labour Complication",Table1[[#This Row],[Age]]&lt;15)),"Error","OK")</f>
        <v>OK</v>
      </c>
      <c r="S332" s="4">
        <f>Table1[[#This Row],[Bill_Amount]]+Table1[[#This Row],[Surgery_Cost]]</f>
        <v>63780</v>
      </c>
    </row>
    <row r="333" spans="1:19" x14ac:dyDescent="0.35">
      <c r="A333" s="16" t="s">
        <v>369</v>
      </c>
      <c r="B333" s="17" t="s">
        <v>869</v>
      </c>
      <c r="C333" s="18">
        <v>79</v>
      </c>
      <c r="D333" s="17" t="s">
        <v>1057</v>
      </c>
      <c r="E333" s="17" t="s">
        <v>1022</v>
      </c>
      <c r="F333" s="17" t="s">
        <v>1029</v>
      </c>
      <c r="G333" s="17" t="s">
        <v>1039</v>
      </c>
      <c r="H333" s="30">
        <v>45750</v>
      </c>
      <c r="I333" s="30">
        <v>45760</v>
      </c>
      <c r="J333" s="25">
        <v>118037</v>
      </c>
      <c r="K333" s="18">
        <v>7</v>
      </c>
      <c r="L333" s="18">
        <v>14</v>
      </c>
      <c r="M333" s="18">
        <v>1</v>
      </c>
      <c r="N333" s="25">
        <v>0</v>
      </c>
      <c r="O333" s="18">
        <v>10</v>
      </c>
      <c r="P333" t="str">
        <f t="shared" si="10"/>
        <v>Older Adults</v>
      </c>
      <c r="Q333" t="str">
        <f t="shared" si="11"/>
        <v>Medium</v>
      </c>
      <c r="R333" t="str">
        <f>IF(OR(AND(Table1[[#This Row],[Diagnosis]]="Labour Complication",Table1[[#This Row],[Gender]]="M"), AND(Table1[[#This Row],[Diagnosis]]="Labour Complication",Table1[[#This Row],[Age]]&lt;15)),"Error","OK")</f>
        <v>OK</v>
      </c>
      <c r="S333" s="4">
        <f>Table1[[#This Row],[Bill_Amount]]+Table1[[#This Row],[Surgery_Cost]]</f>
        <v>118037</v>
      </c>
    </row>
    <row r="334" spans="1:19" x14ac:dyDescent="0.35">
      <c r="A334" s="19" t="s">
        <v>370</v>
      </c>
      <c r="B334" s="20" t="s">
        <v>870</v>
      </c>
      <c r="C334" s="21">
        <v>62</v>
      </c>
      <c r="D334" s="20" t="s">
        <v>1058</v>
      </c>
      <c r="E334" s="20" t="s">
        <v>1021</v>
      </c>
      <c r="F334" s="20" t="s">
        <v>1028</v>
      </c>
      <c r="G334" s="20" t="s">
        <v>1036</v>
      </c>
      <c r="H334" s="29">
        <v>45788</v>
      </c>
      <c r="I334" s="29">
        <v>45796</v>
      </c>
      <c r="J334" s="24">
        <v>425879</v>
      </c>
      <c r="K334" s="21">
        <v>4</v>
      </c>
      <c r="L334" s="21">
        <v>19</v>
      </c>
      <c r="M334" s="21">
        <v>2</v>
      </c>
      <c r="N334" s="24">
        <v>187246</v>
      </c>
      <c r="O334" s="21">
        <v>8</v>
      </c>
      <c r="P334" t="str">
        <f t="shared" si="10"/>
        <v>Older Adults</v>
      </c>
      <c r="Q334" t="str">
        <f t="shared" si="11"/>
        <v>High</v>
      </c>
      <c r="R334" t="str">
        <f>IF(OR(AND(Table1[[#This Row],[Diagnosis]]="Labour Complication",Table1[[#This Row],[Gender]]="M"), AND(Table1[[#This Row],[Diagnosis]]="Labour Complication",Table1[[#This Row],[Age]]&lt;15)),"Error","OK")</f>
        <v>OK</v>
      </c>
      <c r="S334" s="4">
        <f>Table1[[#This Row],[Bill_Amount]]+Table1[[#This Row],[Surgery_Cost]]</f>
        <v>613125</v>
      </c>
    </row>
    <row r="335" spans="1:19" x14ac:dyDescent="0.35">
      <c r="A335" s="16" t="s">
        <v>371</v>
      </c>
      <c r="B335" s="17" t="s">
        <v>871</v>
      </c>
      <c r="C335" s="18">
        <v>17</v>
      </c>
      <c r="D335" s="17" t="s">
        <v>1058</v>
      </c>
      <c r="E335" s="17" t="s">
        <v>1022</v>
      </c>
      <c r="F335" s="17" t="s">
        <v>1029</v>
      </c>
      <c r="G335" s="17" t="s">
        <v>1039</v>
      </c>
      <c r="H335" s="30">
        <v>45789</v>
      </c>
      <c r="I335" s="30">
        <v>45800</v>
      </c>
      <c r="J335" s="25">
        <v>88666</v>
      </c>
      <c r="K335" s="18">
        <v>2</v>
      </c>
      <c r="L335" s="18">
        <v>2</v>
      </c>
      <c r="M335" s="18">
        <v>1</v>
      </c>
      <c r="N335" s="25">
        <v>0</v>
      </c>
      <c r="O335" s="18">
        <v>11</v>
      </c>
      <c r="P335" t="str">
        <f t="shared" si="10"/>
        <v>Teenagers</v>
      </c>
      <c r="Q335" t="str">
        <f t="shared" si="11"/>
        <v>Low</v>
      </c>
      <c r="R335" t="str">
        <f>IF(OR(AND(Table1[[#This Row],[Diagnosis]]="Labour Complication",Table1[[#This Row],[Gender]]="M"), AND(Table1[[#This Row],[Diagnosis]]="Labour Complication",Table1[[#This Row],[Age]]&lt;15)),"Error","OK")</f>
        <v>OK</v>
      </c>
      <c r="S335" s="4">
        <f>Table1[[#This Row],[Bill_Amount]]+Table1[[#This Row],[Surgery_Cost]]</f>
        <v>88666</v>
      </c>
    </row>
    <row r="336" spans="1:19" x14ac:dyDescent="0.35">
      <c r="A336" s="19" t="s">
        <v>372</v>
      </c>
      <c r="B336" s="20" t="s">
        <v>872</v>
      </c>
      <c r="C336" s="21">
        <v>67</v>
      </c>
      <c r="D336" s="20" t="s">
        <v>1058</v>
      </c>
      <c r="E336" s="20" t="s">
        <v>1020</v>
      </c>
      <c r="F336" s="20" t="s">
        <v>1027</v>
      </c>
      <c r="G336" s="20" t="s">
        <v>1043</v>
      </c>
      <c r="H336" s="29">
        <v>45749</v>
      </c>
      <c r="I336" s="29">
        <v>45758</v>
      </c>
      <c r="J336" s="24">
        <v>406572</v>
      </c>
      <c r="K336" s="21">
        <v>4</v>
      </c>
      <c r="L336" s="21">
        <v>14</v>
      </c>
      <c r="M336" s="21">
        <v>3</v>
      </c>
      <c r="N336" s="24">
        <v>0</v>
      </c>
      <c r="O336" s="21">
        <v>9</v>
      </c>
      <c r="P336" t="str">
        <f t="shared" si="10"/>
        <v>Older Adults</v>
      </c>
      <c r="Q336" t="str">
        <f t="shared" si="11"/>
        <v>High</v>
      </c>
      <c r="R336" t="str">
        <f>IF(OR(AND(Table1[[#This Row],[Diagnosis]]="Labour Complication",Table1[[#This Row],[Gender]]="M"), AND(Table1[[#This Row],[Diagnosis]]="Labour Complication",Table1[[#This Row],[Age]]&lt;15)),"Error","OK")</f>
        <v>OK</v>
      </c>
      <c r="S336" s="4">
        <f>Table1[[#This Row],[Bill_Amount]]+Table1[[#This Row],[Surgery_Cost]]</f>
        <v>406572</v>
      </c>
    </row>
    <row r="337" spans="1:19" x14ac:dyDescent="0.35">
      <c r="A337" s="16" t="s">
        <v>373</v>
      </c>
      <c r="B337" s="17" t="s">
        <v>873</v>
      </c>
      <c r="C337" s="18">
        <v>82</v>
      </c>
      <c r="D337" s="17" t="s">
        <v>1057</v>
      </c>
      <c r="E337" s="17" t="s">
        <v>1022</v>
      </c>
      <c r="F337" s="17" t="s">
        <v>1029</v>
      </c>
      <c r="G337" s="17" t="s">
        <v>1039</v>
      </c>
      <c r="H337" s="30">
        <v>45773</v>
      </c>
      <c r="I337" s="30">
        <v>45787</v>
      </c>
      <c r="J337" s="25">
        <v>339041</v>
      </c>
      <c r="K337" s="18">
        <v>4</v>
      </c>
      <c r="L337" s="18">
        <v>4</v>
      </c>
      <c r="M337" s="18">
        <v>3</v>
      </c>
      <c r="N337" s="25">
        <v>0</v>
      </c>
      <c r="O337" s="18">
        <v>14</v>
      </c>
      <c r="P337" t="str">
        <f t="shared" si="10"/>
        <v>Older Adults</v>
      </c>
      <c r="Q337" t="str">
        <f t="shared" si="11"/>
        <v>High</v>
      </c>
      <c r="R337" t="str">
        <f>IF(OR(AND(Table1[[#This Row],[Diagnosis]]="Labour Complication",Table1[[#This Row],[Gender]]="M"), AND(Table1[[#This Row],[Diagnosis]]="Labour Complication",Table1[[#This Row],[Age]]&lt;15)),"Error","OK")</f>
        <v>OK</v>
      </c>
      <c r="S337" s="4">
        <f>Table1[[#This Row],[Bill_Amount]]+Table1[[#This Row],[Surgery_Cost]]</f>
        <v>339041</v>
      </c>
    </row>
    <row r="338" spans="1:19" x14ac:dyDescent="0.35">
      <c r="A338" s="19" t="s">
        <v>374</v>
      </c>
      <c r="B338" s="20" t="s">
        <v>874</v>
      </c>
      <c r="C338" s="21">
        <v>16</v>
      </c>
      <c r="D338" s="20" t="s">
        <v>1057</v>
      </c>
      <c r="E338" s="20" t="s">
        <v>1020</v>
      </c>
      <c r="F338" s="20" t="s">
        <v>1027</v>
      </c>
      <c r="G338" s="20" t="s">
        <v>1034</v>
      </c>
      <c r="H338" s="29">
        <v>45751</v>
      </c>
      <c r="I338" s="29">
        <v>45761</v>
      </c>
      <c r="J338" s="24">
        <v>79052</v>
      </c>
      <c r="K338" s="21">
        <v>9</v>
      </c>
      <c r="L338" s="21">
        <v>15</v>
      </c>
      <c r="M338" s="21">
        <v>2</v>
      </c>
      <c r="N338" s="24">
        <v>0</v>
      </c>
      <c r="O338" s="21">
        <v>10</v>
      </c>
      <c r="P338" t="str">
        <f t="shared" si="10"/>
        <v>Teenagers</v>
      </c>
      <c r="Q338" t="str">
        <f t="shared" si="11"/>
        <v>Low</v>
      </c>
      <c r="R338" t="str">
        <f>IF(OR(AND(Table1[[#This Row],[Diagnosis]]="Labour Complication",Table1[[#This Row],[Gender]]="M"), AND(Table1[[#This Row],[Diagnosis]]="Labour Complication",Table1[[#This Row],[Age]]&lt;15)),"Error","OK")</f>
        <v>OK</v>
      </c>
      <c r="S338" s="4">
        <f>Table1[[#This Row],[Bill_Amount]]+Table1[[#This Row],[Surgery_Cost]]</f>
        <v>79052</v>
      </c>
    </row>
    <row r="339" spans="1:19" x14ac:dyDescent="0.35">
      <c r="A339" s="16" t="s">
        <v>375</v>
      </c>
      <c r="B339" s="17" t="s">
        <v>875</v>
      </c>
      <c r="C339" s="18">
        <v>29</v>
      </c>
      <c r="D339" s="17" t="s">
        <v>1058</v>
      </c>
      <c r="E339" s="17" t="s">
        <v>1017</v>
      </c>
      <c r="F339" s="17" t="s">
        <v>1024</v>
      </c>
      <c r="G339" s="17" t="s">
        <v>1031</v>
      </c>
      <c r="H339" s="30">
        <v>45772</v>
      </c>
      <c r="I339" s="30">
        <v>45776</v>
      </c>
      <c r="J339" s="25">
        <v>219167</v>
      </c>
      <c r="K339" s="18">
        <v>6</v>
      </c>
      <c r="L339" s="18">
        <v>19</v>
      </c>
      <c r="M339" s="18">
        <v>4</v>
      </c>
      <c r="N339" s="25">
        <v>0</v>
      </c>
      <c r="O339" s="18">
        <v>4</v>
      </c>
      <c r="P339" t="str">
        <f t="shared" si="10"/>
        <v>Adults</v>
      </c>
      <c r="Q339" t="str">
        <f t="shared" si="11"/>
        <v>High</v>
      </c>
      <c r="R339" t="str">
        <f>IF(OR(AND(Table1[[#This Row],[Diagnosis]]="Labour Complication",Table1[[#This Row],[Gender]]="M"), AND(Table1[[#This Row],[Diagnosis]]="Labour Complication",Table1[[#This Row],[Age]]&lt;15)),"Error","OK")</f>
        <v>OK</v>
      </c>
      <c r="S339" s="4">
        <f>Table1[[#This Row],[Bill_Amount]]+Table1[[#This Row],[Surgery_Cost]]</f>
        <v>219167</v>
      </c>
    </row>
    <row r="340" spans="1:19" x14ac:dyDescent="0.35">
      <c r="A340" s="19" t="s">
        <v>376</v>
      </c>
      <c r="B340" s="20" t="s">
        <v>876</v>
      </c>
      <c r="C340" s="21">
        <v>26</v>
      </c>
      <c r="D340" s="20" t="s">
        <v>1058</v>
      </c>
      <c r="E340" s="20" t="s">
        <v>1022</v>
      </c>
      <c r="F340" s="20" t="s">
        <v>1029</v>
      </c>
      <c r="G340" s="20" t="s">
        <v>1039</v>
      </c>
      <c r="H340" s="29">
        <v>45798</v>
      </c>
      <c r="I340" s="29">
        <v>45801</v>
      </c>
      <c r="J340" s="24">
        <v>181389</v>
      </c>
      <c r="K340" s="21">
        <v>5</v>
      </c>
      <c r="L340" s="21">
        <v>9</v>
      </c>
      <c r="M340" s="21">
        <v>3</v>
      </c>
      <c r="N340" s="24">
        <v>0</v>
      </c>
      <c r="O340" s="21">
        <v>3</v>
      </c>
      <c r="P340" t="str">
        <f t="shared" si="10"/>
        <v>Adults</v>
      </c>
      <c r="Q340" t="str">
        <f t="shared" si="11"/>
        <v>High</v>
      </c>
      <c r="R340" t="str">
        <f>IF(OR(AND(Table1[[#This Row],[Diagnosis]]="Labour Complication",Table1[[#This Row],[Gender]]="M"), AND(Table1[[#This Row],[Diagnosis]]="Labour Complication",Table1[[#This Row],[Age]]&lt;15)),"Error","OK")</f>
        <v>OK</v>
      </c>
      <c r="S340" s="4">
        <f>Table1[[#This Row],[Bill_Amount]]+Table1[[#This Row],[Surgery_Cost]]</f>
        <v>181389</v>
      </c>
    </row>
    <row r="341" spans="1:19" x14ac:dyDescent="0.35">
      <c r="A341" s="16" t="s">
        <v>377</v>
      </c>
      <c r="B341" s="17" t="s">
        <v>877</v>
      </c>
      <c r="C341" s="18">
        <v>69</v>
      </c>
      <c r="D341" s="17" t="s">
        <v>1057</v>
      </c>
      <c r="E341" s="17" t="s">
        <v>1016</v>
      </c>
      <c r="F341" s="17" t="s">
        <v>1023</v>
      </c>
      <c r="G341" s="17" t="s">
        <v>1030</v>
      </c>
      <c r="H341" s="30">
        <v>45757</v>
      </c>
      <c r="I341" s="30">
        <v>45763</v>
      </c>
      <c r="J341" s="25">
        <v>372137</v>
      </c>
      <c r="K341" s="18">
        <v>5</v>
      </c>
      <c r="L341" s="18">
        <v>16</v>
      </c>
      <c r="M341" s="18">
        <v>1</v>
      </c>
      <c r="N341" s="25">
        <v>0</v>
      </c>
      <c r="O341" s="18">
        <v>6</v>
      </c>
      <c r="P341" t="str">
        <f t="shared" si="10"/>
        <v>Older Adults</v>
      </c>
      <c r="Q341" t="str">
        <f t="shared" si="11"/>
        <v>High</v>
      </c>
      <c r="R341" t="str">
        <f>IF(OR(AND(Table1[[#This Row],[Diagnosis]]="Labour Complication",Table1[[#This Row],[Gender]]="M"), AND(Table1[[#This Row],[Diagnosis]]="Labour Complication",Table1[[#This Row],[Age]]&lt;15)),"Error","OK")</f>
        <v>OK</v>
      </c>
      <c r="S341" s="4">
        <f>Table1[[#This Row],[Bill_Amount]]+Table1[[#This Row],[Surgery_Cost]]</f>
        <v>372137</v>
      </c>
    </row>
    <row r="342" spans="1:19" x14ac:dyDescent="0.35">
      <c r="A342" s="19" t="s">
        <v>378</v>
      </c>
      <c r="B342" s="20" t="s">
        <v>878</v>
      </c>
      <c r="C342" s="21">
        <v>22</v>
      </c>
      <c r="D342" s="20" t="s">
        <v>1058</v>
      </c>
      <c r="E342" s="20" t="s">
        <v>1019</v>
      </c>
      <c r="F342" s="20" t="s">
        <v>1026</v>
      </c>
      <c r="G342" s="20" t="s">
        <v>1033</v>
      </c>
      <c r="H342" s="29">
        <v>45777</v>
      </c>
      <c r="I342" s="29">
        <v>45788</v>
      </c>
      <c r="J342" s="24">
        <v>130842</v>
      </c>
      <c r="K342" s="21">
        <v>6</v>
      </c>
      <c r="L342" s="21">
        <v>12</v>
      </c>
      <c r="M342" s="21">
        <v>3</v>
      </c>
      <c r="N342" s="24">
        <v>0</v>
      </c>
      <c r="O342" s="21">
        <v>11</v>
      </c>
      <c r="P342" t="str">
        <f t="shared" si="10"/>
        <v>Adults</v>
      </c>
      <c r="Q342" t="str">
        <f t="shared" si="11"/>
        <v>Medium</v>
      </c>
      <c r="R342" t="str">
        <f>IF(OR(AND(Table1[[#This Row],[Diagnosis]]="Labour Complication",Table1[[#This Row],[Gender]]="M"), AND(Table1[[#This Row],[Diagnosis]]="Labour Complication",Table1[[#This Row],[Age]]&lt;15)),"Error","OK")</f>
        <v>OK</v>
      </c>
      <c r="S342" s="4">
        <f>Table1[[#This Row],[Bill_Amount]]+Table1[[#This Row],[Surgery_Cost]]</f>
        <v>130842</v>
      </c>
    </row>
    <row r="343" spans="1:19" x14ac:dyDescent="0.35">
      <c r="A343" s="16" t="s">
        <v>379</v>
      </c>
      <c r="B343" s="17" t="s">
        <v>879</v>
      </c>
      <c r="C343" s="18">
        <v>11</v>
      </c>
      <c r="D343" s="17" t="s">
        <v>1057</v>
      </c>
      <c r="E343" s="17" t="s">
        <v>1022</v>
      </c>
      <c r="F343" s="17" t="s">
        <v>1029</v>
      </c>
      <c r="G343" s="17" t="s">
        <v>1041</v>
      </c>
      <c r="H343" s="30">
        <v>45776</v>
      </c>
      <c r="I343" s="30">
        <v>45791</v>
      </c>
      <c r="J343" s="25">
        <v>64875</v>
      </c>
      <c r="K343" s="18">
        <v>9</v>
      </c>
      <c r="L343" s="18">
        <v>15</v>
      </c>
      <c r="M343" s="18">
        <v>3</v>
      </c>
      <c r="N343" s="25">
        <v>0</v>
      </c>
      <c r="O343" s="18">
        <v>15</v>
      </c>
      <c r="P343" t="str">
        <f t="shared" si="10"/>
        <v>Children</v>
      </c>
      <c r="Q343" t="str">
        <f t="shared" si="11"/>
        <v>Low</v>
      </c>
      <c r="R343" t="str">
        <f>IF(OR(AND(Table1[[#This Row],[Diagnosis]]="Labour Complication",Table1[[#This Row],[Gender]]="M"), AND(Table1[[#This Row],[Diagnosis]]="Labour Complication",Table1[[#This Row],[Age]]&lt;15)),"Error","OK")</f>
        <v>OK</v>
      </c>
      <c r="S343" s="4">
        <f>Table1[[#This Row],[Bill_Amount]]+Table1[[#This Row],[Surgery_Cost]]</f>
        <v>64875</v>
      </c>
    </row>
    <row r="344" spans="1:19" x14ac:dyDescent="0.35">
      <c r="A344" s="19" t="s">
        <v>380</v>
      </c>
      <c r="B344" s="20" t="s">
        <v>880</v>
      </c>
      <c r="C344" s="21">
        <v>74</v>
      </c>
      <c r="D344" s="20" t="s">
        <v>1058</v>
      </c>
      <c r="E344" s="20" t="s">
        <v>1016</v>
      </c>
      <c r="F344" s="20" t="s">
        <v>1023</v>
      </c>
      <c r="G344" s="20" t="s">
        <v>1030</v>
      </c>
      <c r="H344" s="29">
        <v>45753</v>
      </c>
      <c r="I344" s="29">
        <v>45758</v>
      </c>
      <c r="J344" s="24">
        <v>452107</v>
      </c>
      <c r="K344" s="21">
        <v>2</v>
      </c>
      <c r="L344" s="21">
        <v>17</v>
      </c>
      <c r="M344" s="21">
        <v>1</v>
      </c>
      <c r="N344" s="24">
        <v>0</v>
      </c>
      <c r="O344" s="21">
        <v>5</v>
      </c>
      <c r="P344" t="str">
        <f t="shared" si="10"/>
        <v>Older Adults</v>
      </c>
      <c r="Q344" t="str">
        <f t="shared" si="11"/>
        <v>High</v>
      </c>
      <c r="R344" t="str">
        <f>IF(OR(AND(Table1[[#This Row],[Diagnosis]]="Labour Complication",Table1[[#This Row],[Gender]]="M"), AND(Table1[[#This Row],[Diagnosis]]="Labour Complication",Table1[[#This Row],[Age]]&lt;15)),"Error","OK")</f>
        <v>OK</v>
      </c>
      <c r="S344" s="4">
        <f>Table1[[#This Row],[Bill_Amount]]+Table1[[#This Row],[Surgery_Cost]]</f>
        <v>452107</v>
      </c>
    </row>
    <row r="345" spans="1:19" x14ac:dyDescent="0.35">
      <c r="A345" s="16" t="s">
        <v>381</v>
      </c>
      <c r="B345" s="17" t="s">
        <v>881</v>
      </c>
      <c r="C345" s="18">
        <v>38</v>
      </c>
      <c r="D345" s="17" t="s">
        <v>1058</v>
      </c>
      <c r="E345" s="17" t="s">
        <v>1020</v>
      </c>
      <c r="F345" s="17" t="s">
        <v>1027</v>
      </c>
      <c r="G345" s="17" t="s">
        <v>1034</v>
      </c>
      <c r="H345" s="30">
        <v>45761</v>
      </c>
      <c r="I345" s="30">
        <v>45773</v>
      </c>
      <c r="J345" s="25">
        <v>336039</v>
      </c>
      <c r="K345" s="18">
        <v>9</v>
      </c>
      <c r="L345" s="18">
        <v>14</v>
      </c>
      <c r="M345" s="18">
        <v>4</v>
      </c>
      <c r="N345" s="25">
        <v>0</v>
      </c>
      <c r="O345" s="18">
        <v>12</v>
      </c>
      <c r="P345" t="str">
        <f t="shared" si="10"/>
        <v>Adults</v>
      </c>
      <c r="Q345" t="str">
        <f t="shared" si="11"/>
        <v>High</v>
      </c>
      <c r="R345" t="str">
        <f>IF(OR(AND(Table1[[#This Row],[Diagnosis]]="Labour Complication",Table1[[#This Row],[Gender]]="M"), AND(Table1[[#This Row],[Diagnosis]]="Labour Complication",Table1[[#This Row],[Age]]&lt;15)),"Error","OK")</f>
        <v>OK</v>
      </c>
      <c r="S345" s="4">
        <f>Table1[[#This Row],[Bill_Amount]]+Table1[[#This Row],[Surgery_Cost]]</f>
        <v>336039</v>
      </c>
    </row>
    <row r="346" spans="1:19" x14ac:dyDescent="0.35">
      <c r="A346" s="16" t="s">
        <v>383</v>
      </c>
      <c r="B346" s="17" t="s">
        <v>883</v>
      </c>
      <c r="C346" s="18">
        <v>8</v>
      </c>
      <c r="D346" s="17" t="s">
        <v>1057</v>
      </c>
      <c r="E346" s="17" t="s">
        <v>1020</v>
      </c>
      <c r="F346" s="17" t="s">
        <v>1027</v>
      </c>
      <c r="G346" s="17" t="s">
        <v>1034</v>
      </c>
      <c r="H346" s="30">
        <v>45771</v>
      </c>
      <c r="I346" s="30">
        <v>45774</v>
      </c>
      <c r="J346" s="25">
        <v>411031</v>
      </c>
      <c r="K346" s="18">
        <v>1</v>
      </c>
      <c r="L346" s="18">
        <v>6</v>
      </c>
      <c r="M346" s="18">
        <v>4</v>
      </c>
      <c r="N346" s="25">
        <v>0</v>
      </c>
      <c r="O346" s="18">
        <v>3</v>
      </c>
      <c r="P346" t="str">
        <f t="shared" si="10"/>
        <v>Children</v>
      </c>
      <c r="Q346" t="str">
        <f t="shared" si="11"/>
        <v>High</v>
      </c>
      <c r="R346" t="str">
        <f>IF(OR(AND(Table1[[#This Row],[Diagnosis]]="Labour Complication",Table1[[#This Row],[Gender]]="M"), AND(Table1[[#This Row],[Diagnosis]]="Labour Complication",Table1[[#This Row],[Age]]&lt;15)),"Error","OK")</f>
        <v>OK</v>
      </c>
      <c r="S346" s="4">
        <f>Table1[[#This Row],[Bill_Amount]]+Table1[[#This Row],[Surgery_Cost]]</f>
        <v>411031</v>
      </c>
    </row>
    <row r="347" spans="1:19" x14ac:dyDescent="0.35">
      <c r="A347" s="19" t="s">
        <v>384</v>
      </c>
      <c r="B347" s="20" t="s">
        <v>884</v>
      </c>
      <c r="C347" s="21">
        <v>27</v>
      </c>
      <c r="D347" s="20" t="s">
        <v>1058</v>
      </c>
      <c r="E347" s="20" t="s">
        <v>1020</v>
      </c>
      <c r="F347" s="20" t="s">
        <v>1027</v>
      </c>
      <c r="G347" s="20" t="s">
        <v>1043</v>
      </c>
      <c r="H347" s="29">
        <v>45777</v>
      </c>
      <c r="I347" s="29">
        <v>45786</v>
      </c>
      <c r="J347" s="24">
        <v>293501</v>
      </c>
      <c r="K347" s="21">
        <v>4</v>
      </c>
      <c r="L347" s="21">
        <v>3</v>
      </c>
      <c r="M347" s="21">
        <v>2</v>
      </c>
      <c r="N347" s="24">
        <v>0</v>
      </c>
      <c r="O347" s="21">
        <v>9</v>
      </c>
      <c r="P347" t="str">
        <f t="shared" si="10"/>
        <v>Adults</v>
      </c>
      <c r="Q347" t="str">
        <f t="shared" si="11"/>
        <v>High</v>
      </c>
      <c r="R347" t="str">
        <f>IF(OR(AND(Table1[[#This Row],[Diagnosis]]="Labour Complication",Table1[[#This Row],[Gender]]="M"), AND(Table1[[#This Row],[Diagnosis]]="Labour Complication",Table1[[#This Row],[Age]]&lt;15)),"Error","OK")</f>
        <v>OK</v>
      </c>
      <c r="S347" s="4">
        <f>Table1[[#This Row],[Bill_Amount]]+Table1[[#This Row],[Surgery_Cost]]</f>
        <v>293501</v>
      </c>
    </row>
    <row r="348" spans="1:19" x14ac:dyDescent="0.35">
      <c r="A348" s="16" t="s">
        <v>385</v>
      </c>
      <c r="B348" s="17" t="s">
        <v>885</v>
      </c>
      <c r="C348" s="18">
        <v>41</v>
      </c>
      <c r="D348" s="17" t="s">
        <v>1058</v>
      </c>
      <c r="E348" s="17" t="s">
        <v>1021</v>
      </c>
      <c r="F348" s="17" t="s">
        <v>1028</v>
      </c>
      <c r="G348" s="17" t="s">
        <v>1036</v>
      </c>
      <c r="H348" s="30">
        <v>45791</v>
      </c>
      <c r="I348" s="30">
        <v>45806</v>
      </c>
      <c r="J348" s="25">
        <v>426629</v>
      </c>
      <c r="K348" s="18">
        <v>6</v>
      </c>
      <c r="L348" s="18">
        <v>6</v>
      </c>
      <c r="M348" s="18">
        <v>4</v>
      </c>
      <c r="N348" s="25">
        <v>292794</v>
      </c>
      <c r="O348" s="18">
        <v>15</v>
      </c>
      <c r="P348" t="str">
        <f t="shared" si="10"/>
        <v>Adults</v>
      </c>
      <c r="Q348" t="str">
        <f t="shared" si="11"/>
        <v>High</v>
      </c>
      <c r="R348" t="str">
        <f>IF(OR(AND(Table1[[#This Row],[Diagnosis]]="Labour Complication",Table1[[#This Row],[Gender]]="M"), AND(Table1[[#This Row],[Diagnosis]]="Labour Complication",Table1[[#This Row],[Age]]&lt;15)),"Error","OK")</f>
        <v>OK</v>
      </c>
      <c r="S348" s="4">
        <f>Table1[[#This Row],[Bill_Amount]]+Table1[[#This Row],[Surgery_Cost]]</f>
        <v>719423</v>
      </c>
    </row>
    <row r="349" spans="1:19" x14ac:dyDescent="0.35">
      <c r="A349" s="16" t="s">
        <v>387</v>
      </c>
      <c r="B349" s="17" t="s">
        <v>887</v>
      </c>
      <c r="C349" s="18">
        <v>35</v>
      </c>
      <c r="D349" s="17" t="s">
        <v>1058</v>
      </c>
      <c r="E349" s="17" t="s">
        <v>1017</v>
      </c>
      <c r="F349" s="17" t="s">
        <v>1024</v>
      </c>
      <c r="G349" s="17" t="s">
        <v>1042</v>
      </c>
      <c r="H349" s="30">
        <v>45768</v>
      </c>
      <c r="I349" s="30">
        <v>45777</v>
      </c>
      <c r="J349" s="25">
        <v>114236</v>
      </c>
      <c r="K349" s="18">
        <v>7</v>
      </c>
      <c r="L349" s="18">
        <v>12</v>
      </c>
      <c r="M349" s="18">
        <v>3</v>
      </c>
      <c r="N349" s="25">
        <v>0</v>
      </c>
      <c r="O349" s="18">
        <v>9</v>
      </c>
      <c r="P349" t="str">
        <f t="shared" si="10"/>
        <v>Adults</v>
      </c>
      <c r="Q349" t="str">
        <f t="shared" si="11"/>
        <v>Medium</v>
      </c>
      <c r="R349" t="str">
        <f>IF(OR(AND(Table1[[#This Row],[Diagnosis]]="Labour Complication",Table1[[#This Row],[Gender]]="M"), AND(Table1[[#This Row],[Diagnosis]]="Labour Complication",Table1[[#This Row],[Age]]&lt;15)),"Error","OK")</f>
        <v>OK</v>
      </c>
      <c r="S349" s="4">
        <f>Table1[[#This Row],[Bill_Amount]]+Table1[[#This Row],[Surgery_Cost]]</f>
        <v>114236</v>
      </c>
    </row>
    <row r="350" spans="1:19" x14ac:dyDescent="0.35">
      <c r="A350" s="19" t="s">
        <v>388</v>
      </c>
      <c r="B350" s="20" t="s">
        <v>888</v>
      </c>
      <c r="C350" s="21">
        <v>38</v>
      </c>
      <c r="D350" s="20" t="s">
        <v>1058</v>
      </c>
      <c r="E350" s="20" t="s">
        <v>1017</v>
      </c>
      <c r="F350" s="20" t="s">
        <v>1024</v>
      </c>
      <c r="G350" s="20" t="s">
        <v>1031</v>
      </c>
      <c r="H350" s="29">
        <v>45756</v>
      </c>
      <c r="I350" s="29">
        <v>45759</v>
      </c>
      <c r="J350" s="24">
        <v>76531</v>
      </c>
      <c r="K350" s="21">
        <v>9</v>
      </c>
      <c r="L350" s="21">
        <v>6</v>
      </c>
      <c r="M350" s="21">
        <v>3</v>
      </c>
      <c r="N350" s="24">
        <v>0</v>
      </c>
      <c r="O350" s="21">
        <v>3</v>
      </c>
      <c r="P350" t="str">
        <f t="shared" si="10"/>
        <v>Adults</v>
      </c>
      <c r="Q350" t="str">
        <f t="shared" si="11"/>
        <v>Low</v>
      </c>
      <c r="R350" t="str">
        <f>IF(OR(AND(Table1[[#This Row],[Diagnosis]]="Labour Complication",Table1[[#This Row],[Gender]]="M"), AND(Table1[[#This Row],[Diagnosis]]="Labour Complication",Table1[[#This Row],[Age]]&lt;15)),"Error","OK")</f>
        <v>OK</v>
      </c>
      <c r="S350" s="4">
        <f>Table1[[#This Row],[Bill_Amount]]+Table1[[#This Row],[Surgery_Cost]]</f>
        <v>76531</v>
      </c>
    </row>
    <row r="351" spans="1:19" x14ac:dyDescent="0.35">
      <c r="A351" s="16" t="s">
        <v>389</v>
      </c>
      <c r="B351" s="17" t="s">
        <v>889</v>
      </c>
      <c r="C351" s="18">
        <v>42</v>
      </c>
      <c r="D351" s="17" t="s">
        <v>1058</v>
      </c>
      <c r="E351" s="17" t="s">
        <v>1017</v>
      </c>
      <c r="F351" s="17" t="s">
        <v>1024</v>
      </c>
      <c r="G351" s="17" t="s">
        <v>1042</v>
      </c>
      <c r="H351" s="30">
        <v>45757</v>
      </c>
      <c r="I351" s="30">
        <v>45772</v>
      </c>
      <c r="J351" s="25">
        <v>133728</v>
      </c>
      <c r="K351" s="18">
        <v>6</v>
      </c>
      <c r="L351" s="18">
        <v>6</v>
      </c>
      <c r="M351" s="18">
        <v>3</v>
      </c>
      <c r="N351" s="25">
        <v>0</v>
      </c>
      <c r="O351" s="18">
        <v>15</v>
      </c>
      <c r="P351" t="str">
        <f t="shared" si="10"/>
        <v>Adults</v>
      </c>
      <c r="Q351" t="str">
        <f t="shared" si="11"/>
        <v>Medium</v>
      </c>
      <c r="R351" t="str">
        <f>IF(OR(AND(Table1[[#This Row],[Diagnosis]]="Labour Complication",Table1[[#This Row],[Gender]]="M"), AND(Table1[[#This Row],[Diagnosis]]="Labour Complication",Table1[[#This Row],[Age]]&lt;15)),"Error","OK")</f>
        <v>OK</v>
      </c>
      <c r="S351" s="4">
        <f>Table1[[#This Row],[Bill_Amount]]+Table1[[#This Row],[Surgery_Cost]]</f>
        <v>133728</v>
      </c>
    </row>
    <row r="352" spans="1:19" x14ac:dyDescent="0.35">
      <c r="A352" s="19" t="s">
        <v>390</v>
      </c>
      <c r="B352" s="20" t="s">
        <v>890</v>
      </c>
      <c r="C352" s="21">
        <v>66</v>
      </c>
      <c r="D352" s="20" t="s">
        <v>1058</v>
      </c>
      <c r="E352" s="20" t="s">
        <v>1022</v>
      </c>
      <c r="F352" s="20" t="s">
        <v>1029</v>
      </c>
      <c r="G352" s="20" t="s">
        <v>1041</v>
      </c>
      <c r="H352" s="29">
        <v>45802</v>
      </c>
      <c r="I352" s="29">
        <v>45806</v>
      </c>
      <c r="J352" s="24">
        <v>311234</v>
      </c>
      <c r="K352" s="21">
        <v>3</v>
      </c>
      <c r="L352" s="21">
        <v>14</v>
      </c>
      <c r="M352" s="21">
        <v>2</v>
      </c>
      <c r="N352" s="24">
        <v>0</v>
      </c>
      <c r="O352" s="21">
        <v>4</v>
      </c>
      <c r="P352" t="str">
        <f t="shared" si="10"/>
        <v>Older Adults</v>
      </c>
      <c r="Q352" t="str">
        <f t="shared" si="11"/>
        <v>High</v>
      </c>
      <c r="R352" t="str">
        <f>IF(OR(AND(Table1[[#This Row],[Diagnosis]]="Labour Complication",Table1[[#This Row],[Gender]]="M"), AND(Table1[[#This Row],[Diagnosis]]="Labour Complication",Table1[[#This Row],[Age]]&lt;15)),"Error","OK")</f>
        <v>OK</v>
      </c>
      <c r="S352" s="4">
        <f>Table1[[#This Row],[Bill_Amount]]+Table1[[#This Row],[Surgery_Cost]]</f>
        <v>311234</v>
      </c>
    </row>
    <row r="353" spans="1:19" x14ac:dyDescent="0.35">
      <c r="A353" s="16" t="s">
        <v>391</v>
      </c>
      <c r="B353" s="17" t="s">
        <v>891</v>
      </c>
      <c r="C353" s="18">
        <v>12</v>
      </c>
      <c r="D353" s="17" t="s">
        <v>1058</v>
      </c>
      <c r="E353" s="17" t="s">
        <v>1021</v>
      </c>
      <c r="F353" s="17" t="s">
        <v>1028</v>
      </c>
      <c r="G353" s="17" t="s">
        <v>1036</v>
      </c>
      <c r="H353" s="30">
        <v>45773</v>
      </c>
      <c r="I353" s="30">
        <v>45782</v>
      </c>
      <c r="J353" s="25">
        <v>62151</v>
      </c>
      <c r="K353" s="18">
        <v>7</v>
      </c>
      <c r="L353" s="18">
        <v>8</v>
      </c>
      <c r="M353" s="18">
        <v>4</v>
      </c>
      <c r="N353" s="25">
        <v>204500</v>
      </c>
      <c r="O353" s="18">
        <v>9</v>
      </c>
      <c r="P353" t="str">
        <f t="shared" si="10"/>
        <v>Children</v>
      </c>
      <c r="Q353" t="str">
        <f t="shared" si="11"/>
        <v>Low</v>
      </c>
      <c r="R353" t="str">
        <f>IF(OR(AND(Table1[[#This Row],[Diagnosis]]="Labour Complication",Table1[[#This Row],[Gender]]="M"), AND(Table1[[#This Row],[Diagnosis]]="Labour Complication",Table1[[#This Row],[Age]]&lt;15)),"Error","OK")</f>
        <v>OK</v>
      </c>
      <c r="S353" s="4">
        <f>Table1[[#This Row],[Bill_Amount]]+Table1[[#This Row],[Surgery_Cost]]</f>
        <v>266651</v>
      </c>
    </row>
    <row r="354" spans="1:19" x14ac:dyDescent="0.35">
      <c r="A354" s="19" t="s">
        <v>392</v>
      </c>
      <c r="B354" s="20" t="s">
        <v>892</v>
      </c>
      <c r="C354" s="21">
        <v>46</v>
      </c>
      <c r="D354" s="20" t="s">
        <v>1057</v>
      </c>
      <c r="E354" s="20" t="s">
        <v>1017</v>
      </c>
      <c r="F354" s="20" t="s">
        <v>1024</v>
      </c>
      <c r="G354" s="20" t="s">
        <v>1042</v>
      </c>
      <c r="H354" s="29">
        <v>45753</v>
      </c>
      <c r="I354" s="29">
        <v>45758</v>
      </c>
      <c r="J354" s="24">
        <v>355840</v>
      </c>
      <c r="K354" s="21">
        <v>5</v>
      </c>
      <c r="L354" s="21">
        <v>17</v>
      </c>
      <c r="M354" s="21">
        <v>1</v>
      </c>
      <c r="N354" s="24">
        <v>0</v>
      </c>
      <c r="O354" s="21">
        <v>5</v>
      </c>
      <c r="P354" t="str">
        <f t="shared" si="10"/>
        <v>Adults</v>
      </c>
      <c r="Q354" t="str">
        <f t="shared" si="11"/>
        <v>High</v>
      </c>
      <c r="R354" t="str">
        <f>IF(OR(AND(Table1[[#This Row],[Diagnosis]]="Labour Complication",Table1[[#This Row],[Gender]]="M"), AND(Table1[[#This Row],[Diagnosis]]="Labour Complication",Table1[[#This Row],[Age]]&lt;15)),"Error","OK")</f>
        <v>OK</v>
      </c>
      <c r="S354" s="4">
        <f>Table1[[#This Row],[Bill_Amount]]+Table1[[#This Row],[Surgery_Cost]]</f>
        <v>355840</v>
      </c>
    </row>
    <row r="355" spans="1:19" x14ac:dyDescent="0.35">
      <c r="A355" s="16" t="s">
        <v>393</v>
      </c>
      <c r="B355" s="17" t="s">
        <v>893</v>
      </c>
      <c r="C355" s="18">
        <v>84</v>
      </c>
      <c r="D355" s="17" t="s">
        <v>1058</v>
      </c>
      <c r="E355" s="17" t="s">
        <v>1021</v>
      </c>
      <c r="F355" s="17" t="s">
        <v>1028</v>
      </c>
      <c r="G355" s="17" t="s">
        <v>1036</v>
      </c>
      <c r="H355" s="30">
        <v>45770</v>
      </c>
      <c r="I355" s="30">
        <v>45779</v>
      </c>
      <c r="J355" s="25">
        <v>363271</v>
      </c>
      <c r="K355" s="18">
        <v>8</v>
      </c>
      <c r="L355" s="18">
        <v>15</v>
      </c>
      <c r="M355" s="18">
        <v>1</v>
      </c>
      <c r="N355" s="25">
        <v>255259</v>
      </c>
      <c r="O355" s="18">
        <v>9</v>
      </c>
      <c r="P355" t="str">
        <f t="shared" si="10"/>
        <v>Older Adults</v>
      </c>
      <c r="Q355" t="str">
        <f t="shared" si="11"/>
        <v>High</v>
      </c>
      <c r="R355" t="str">
        <f>IF(OR(AND(Table1[[#This Row],[Diagnosis]]="Labour Complication",Table1[[#This Row],[Gender]]="M"), AND(Table1[[#This Row],[Diagnosis]]="Labour Complication",Table1[[#This Row],[Age]]&lt;15)),"Error","OK")</f>
        <v>OK</v>
      </c>
      <c r="S355" s="4">
        <f>Table1[[#This Row],[Bill_Amount]]+Table1[[#This Row],[Surgery_Cost]]</f>
        <v>618530</v>
      </c>
    </row>
    <row r="356" spans="1:19" x14ac:dyDescent="0.35">
      <c r="A356" s="19" t="s">
        <v>394</v>
      </c>
      <c r="B356" s="20" t="s">
        <v>894</v>
      </c>
      <c r="C356" s="21">
        <v>14</v>
      </c>
      <c r="D356" s="20" t="s">
        <v>1058</v>
      </c>
      <c r="E356" s="20" t="s">
        <v>1019</v>
      </c>
      <c r="F356" s="20" t="s">
        <v>1026</v>
      </c>
      <c r="G356" s="20" t="s">
        <v>1033</v>
      </c>
      <c r="H356" s="29">
        <v>45766</v>
      </c>
      <c r="I356" s="29">
        <v>45768</v>
      </c>
      <c r="J356" s="24">
        <v>494162</v>
      </c>
      <c r="K356" s="21">
        <v>9</v>
      </c>
      <c r="L356" s="21">
        <v>3</v>
      </c>
      <c r="M356" s="21">
        <v>4</v>
      </c>
      <c r="N356" s="24">
        <v>0</v>
      </c>
      <c r="O356" s="21">
        <v>2</v>
      </c>
      <c r="P356" t="str">
        <f t="shared" si="10"/>
        <v>Teenagers</v>
      </c>
      <c r="Q356" t="str">
        <f t="shared" si="11"/>
        <v>High</v>
      </c>
      <c r="R356" t="str">
        <f>IF(OR(AND(Table1[[#This Row],[Diagnosis]]="Labour Complication",Table1[[#This Row],[Gender]]="M"), AND(Table1[[#This Row],[Diagnosis]]="Labour Complication",Table1[[#This Row],[Age]]&lt;15)),"Error","OK")</f>
        <v>OK</v>
      </c>
      <c r="S356" s="4">
        <f>Table1[[#This Row],[Bill_Amount]]+Table1[[#This Row],[Surgery_Cost]]</f>
        <v>494162</v>
      </c>
    </row>
    <row r="357" spans="1:19" x14ac:dyDescent="0.35">
      <c r="A357" s="16" t="s">
        <v>395</v>
      </c>
      <c r="B357" s="17" t="s">
        <v>895</v>
      </c>
      <c r="C357" s="18">
        <v>52</v>
      </c>
      <c r="D357" s="17" t="s">
        <v>1058</v>
      </c>
      <c r="E357" s="17" t="s">
        <v>1021</v>
      </c>
      <c r="F357" s="17" t="s">
        <v>1028</v>
      </c>
      <c r="G357" s="17" t="s">
        <v>1035</v>
      </c>
      <c r="H357" s="30">
        <v>45750</v>
      </c>
      <c r="I357" s="30">
        <v>45763</v>
      </c>
      <c r="J357" s="25">
        <v>241772</v>
      </c>
      <c r="K357" s="18">
        <v>1</v>
      </c>
      <c r="L357" s="18">
        <v>15</v>
      </c>
      <c r="M357" s="18">
        <v>3</v>
      </c>
      <c r="N357" s="25">
        <v>134539</v>
      </c>
      <c r="O357" s="18">
        <v>13</v>
      </c>
      <c r="P357" t="str">
        <f t="shared" si="10"/>
        <v>Adults</v>
      </c>
      <c r="Q357" t="str">
        <f t="shared" si="11"/>
        <v>High</v>
      </c>
      <c r="R357" t="str">
        <f>IF(OR(AND(Table1[[#This Row],[Diagnosis]]="Labour Complication",Table1[[#This Row],[Gender]]="M"), AND(Table1[[#This Row],[Diagnosis]]="Labour Complication",Table1[[#This Row],[Age]]&lt;15)),"Error","OK")</f>
        <v>OK</v>
      </c>
      <c r="S357" s="4">
        <f>Table1[[#This Row],[Bill_Amount]]+Table1[[#This Row],[Surgery_Cost]]</f>
        <v>376311</v>
      </c>
    </row>
    <row r="358" spans="1:19" x14ac:dyDescent="0.35">
      <c r="A358" s="19" t="s">
        <v>396</v>
      </c>
      <c r="B358" s="20" t="s">
        <v>896</v>
      </c>
      <c r="C358" s="21">
        <v>72</v>
      </c>
      <c r="D358" s="20" t="s">
        <v>1057</v>
      </c>
      <c r="E358" s="20" t="s">
        <v>1020</v>
      </c>
      <c r="F358" s="20" t="s">
        <v>1027</v>
      </c>
      <c r="G358" s="20" t="s">
        <v>1034</v>
      </c>
      <c r="H358" s="29">
        <v>45796</v>
      </c>
      <c r="I358" s="29">
        <v>45798</v>
      </c>
      <c r="J358" s="24">
        <v>348991</v>
      </c>
      <c r="K358" s="21">
        <v>1</v>
      </c>
      <c r="L358" s="21">
        <v>6</v>
      </c>
      <c r="M358" s="21">
        <v>4</v>
      </c>
      <c r="N358" s="24">
        <v>0</v>
      </c>
      <c r="O358" s="21">
        <v>2</v>
      </c>
      <c r="P358" t="str">
        <f t="shared" si="10"/>
        <v>Older Adults</v>
      </c>
      <c r="Q358" t="str">
        <f t="shared" si="11"/>
        <v>High</v>
      </c>
      <c r="R358" t="str">
        <f>IF(OR(AND(Table1[[#This Row],[Diagnosis]]="Labour Complication",Table1[[#This Row],[Gender]]="M"), AND(Table1[[#This Row],[Diagnosis]]="Labour Complication",Table1[[#This Row],[Age]]&lt;15)),"Error","OK")</f>
        <v>OK</v>
      </c>
      <c r="S358" s="4">
        <f>Table1[[#This Row],[Bill_Amount]]+Table1[[#This Row],[Surgery_Cost]]</f>
        <v>348991</v>
      </c>
    </row>
    <row r="359" spans="1:19" x14ac:dyDescent="0.35">
      <c r="A359" s="16" t="s">
        <v>397</v>
      </c>
      <c r="B359" s="17" t="s">
        <v>897</v>
      </c>
      <c r="C359" s="18">
        <v>50</v>
      </c>
      <c r="D359" s="17" t="s">
        <v>1058</v>
      </c>
      <c r="E359" s="17" t="s">
        <v>1019</v>
      </c>
      <c r="F359" s="17" t="s">
        <v>1026</v>
      </c>
      <c r="G359" s="17" t="s">
        <v>1038</v>
      </c>
      <c r="H359" s="30">
        <v>45780</v>
      </c>
      <c r="I359" s="30">
        <v>45786</v>
      </c>
      <c r="J359" s="25">
        <v>88551</v>
      </c>
      <c r="K359" s="18">
        <v>9</v>
      </c>
      <c r="L359" s="18">
        <v>2</v>
      </c>
      <c r="M359" s="18">
        <v>1</v>
      </c>
      <c r="N359" s="25">
        <v>0</v>
      </c>
      <c r="O359" s="18">
        <v>6</v>
      </c>
      <c r="P359" t="str">
        <f t="shared" si="10"/>
        <v>Adults</v>
      </c>
      <c r="Q359" t="str">
        <f t="shared" si="11"/>
        <v>Low</v>
      </c>
      <c r="R359" t="str">
        <f>IF(OR(AND(Table1[[#This Row],[Diagnosis]]="Labour Complication",Table1[[#This Row],[Gender]]="M"), AND(Table1[[#This Row],[Diagnosis]]="Labour Complication",Table1[[#This Row],[Age]]&lt;15)),"Error","OK")</f>
        <v>OK</v>
      </c>
      <c r="S359" s="4">
        <f>Table1[[#This Row],[Bill_Amount]]+Table1[[#This Row],[Surgery_Cost]]</f>
        <v>88551</v>
      </c>
    </row>
    <row r="360" spans="1:19" x14ac:dyDescent="0.35">
      <c r="A360" s="19" t="s">
        <v>398</v>
      </c>
      <c r="B360" s="20" t="s">
        <v>898</v>
      </c>
      <c r="C360" s="21">
        <v>79</v>
      </c>
      <c r="D360" s="20" t="s">
        <v>1057</v>
      </c>
      <c r="E360" s="20" t="s">
        <v>1022</v>
      </c>
      <c r="F360" s="20" t="s">
        <v>1029</v>
      </c>
      <c r="G360" s="20" t="s">
        <v>1039</v>
      </c>
      <c r="H360" s="29">
        <v>45785</v>
      </c>
      <c r="I360" s="29">
        <v>45796</v>
      </c>
      <c r="J360" s="24">
        <v>406724</v>
      </c>
      <c r="K360" s="21">
        <v>3</v>
      </c>
      <c r="L360" s="21">
        <v>9</v>
      </c>
      <c r="M360" s="21">
        <v>3</v>
      </c>
      <c r="N360" s="24">
        <v>0</v>
      </c>
      <c r="O360" s="21">
        <v>11</v>
      </c>
      <c r="P360" t="str">
        <f t="shared" si="10"/>
        <v>Older Adults</v>
      </c>
      <c r="Q360" t="str">
        <f t="shared" si="11"/>
        <v>High</v>
      </c>
      <c r="R360" t="str">
        <f>IF(OR(AND(Table1[[#This Row],[Diagnosis]]="Labour Complication",Table1[[#This Row],[Gender]]="M"), AND(Table1[[#This Row],[Diagnosis]]="Labour Complication",Table1[[#This Row],[Age]]&lt;15)),"Error","OK")</f>
        <v>OK</v>
      </c>
      <c r="S360" s="4">
        <f>Table1[[#This Row],[Bill_Amount]]+Table1[[#This Row],[Surgery_Cost]]</f>
        <v>406724</v>
      </c>
    </row>
    <row r="361" spans="1:19" x14ac:dyDescent="0.35">
      <c r="A361" s="16" t="s">
        <v>399</v>
      </c>
      <c r="B361" s="17" t="s">
        <v>899</v>
      </c>
      <c r="C361" s="18">
        <v>44</v>
      </c>
      <c r="D361" s="17" t="s">
        <v>1058</v>
      </c>
      <c r="E361" s="17" t="s">
        <v>1018</v>
      </c>
      <c r="F361" s="17" t="s">
        <v>1025</v>
      </c>
      <c r="G361" s="17" t="s">
        <v>1044</v>
      </c>
      <c r="H361" s="30">
        <v>45792</v>
      </c>
      <c r="I361" s="30">
        <v>45800</v>
      </c>
      <c r="J361" s="25">
        <v>245663</v>
      </c>
      <c r="K361" s="18">
        <v>7</v>
      </c>
      <c r="L361" s="18">
        <v>3</v>
      </c>
      <c r="M361" s="18">
        <v>2</v>
      </c>
      <c r="N361" s="25">
        <v>0</v>
      </c>
      <c r="O361" s="18">
        <v>8</v>
      </c>
      <c r="P361" t="str">
        <f t="shared" si="10"/>
        <v>Adults</v>
      </c>
      <c r="Q361" t="str">
        <f t="shared" si="11"/>
        <v>High</v>
      </c>
      <c r="R361" t="str">
        <f>IF(OR(AND(Table1[[#This Row],[Diagnosis]]="Labour Complication",Table1[[#This Row],[Gender]]="M"), AND(Table1[[#This Row],[Diagnosis]]="Labour Complication",Table1[[#This Row],[Age]]&lt;15)),"Error","OK")</f>
        <v>OK</v>
      </c>
      <c r="S361" s="4">
        <f>Table1[[#This Row],[Bill_Amount]]+Table1[[#This Row],[Surgery_Cost]]</f>
        <v>245663</v>
      </c>
    </row>
    <row r="362" spans="1:19" x14ac:dyDescent="0.35">
      <c r="A362" s="19" t="s">
        <v>400</v>
      </c>
      <c r="B362" s="20" t="s">
        <v>900</v>
      </c>
      <c r="C362" s="21">
        <v>52</v>
      </c>
      <c r="D362" s="20" t="s">
        <v>1057</v>
      </c>
      <c r="E362" s="20" t="s">
        <v>1017</v>
      </c>
      <c r="F362" s="20" t="s">
        <v>1024</v>
      </c>
      <c r="G362" s="20" t="s">
        <v>1042</v>
      </c>
      <c r="H362" s="29">
        <v>45791</v>
      </c>
      <c r="I362" s="29">
        <v>45802</v>
      </c>
      <c r="J362" s="24">
        <v>316926</v>
      </c>
      <c r="K362" s="21">
        <v>2</v>
      </c>
      <c r="L362" s="21">
        <v>6</v>
      </c>
      <c r="M362" s="21">
        <v>1</v>
      </c>
      <c r="N362" s="24">
        <v>0</v>
      </c>
      <c r="O362" s="21">
        <v>11</v>
      </c>
      <c r="P362" t="str">
        <f t="shared" si="10"/>
        <v>Adults</v>
      </c>
      <c r="Q362" t="str">
        <f t="shared" si="11"/>
        <v>High</v>
      </c>
      <c r="R362" t="str">
        <f>IF(OR(AND(Table1[[#This Row],[Diagnosis]]="Labour Complication",Table1[[#This Row],[Gender]]="M"), AND(Table1[[#This Row],[Diagnosis]]="Labour Complication",Table1[[#This Row],[Age]]&lt;15)),"Error","OK")</f>
        <v>OK</v>
      </c>
      <c r="S362" s="4">
        <f>Table1[[#This Row],[Bill_Amount]]+Table1[[#This Row],[Surgery_Cost]]</f>
        <v>316926</v>
      </c>
    </row>
    <row r="363" spans="1:19" x14ac:dyDescent="0.35">
      <c r="A363" s="16" t="s">
        <v>401</v>
      </c>
      <c r="B363" s="17" t="s">
        <v>901</v>
      </c>
      <c r="C363" s="18">
        <v>43</v>
      </c>
      <c r="D363" s="17" t="s">
        <v>1058</v>
      </c>
      <c r="E363" s="17" t="s">
        <v>1018</v>
      </c>
      <c r="F363" s="17" t="s">
        <v>1025</v>
      </c>
      <c r="G363" s="17" t="s">
        <v>1032</v>
      </c>
      <c r="H363" s="30">
        <v>45757</v>
      </c>
      <c r="I363" s="30">
        <v>45761</v>
      </c>
      <c r="J363" s="25">
        <v>424127</v>
      </c>
      <c r="K363" s="18">
        <v>9</v>
      </c>
      <c r="L363" s="18">
        <v>9</v>
      </c>
      <c r="M363" s="18">
        <v>1</v>
      </c>
      <c r="N363" s="25">
        <v>0</v>
      </c>
      <c r="O363" s="18">
        <v>4</v>
      </c>
      <c r="P363" t="str">
        <f t="shared" si="10"/>
        <v>Adults</v>
      </c>
      <c r="Q363" t="str">
        <f t="shared" si="11"/>
        <v>High</v>
      </c>
      <c r="R363" t="str">
        <f>IF(OR(AND(Table1[[#This Row],[Diagnosis]]="Labour Complication",Table1[[#This Row],[Gender]]="M"), AND(Table1[[#This Row],[Diagnosis]]="Labour Complication",Table1[[#This Row],[Age]]&lt;15)),"Error","OK")</f>
        <v>OK</v>
      </c>
      <c r="S363" s="4">
        <f>Table1[[#This Row],[Bill_Amount]]+Table1[[#This Row],[Surgery_Cost]]</f>
        <v>424127</v>
      </c>
    </row>
    <row r="364" spans="1:19" x14ac:dyDescent="0.35">
      <c r="A364" s="19" t="s">
        <v>402</v>
      </c>
      <c r="B364" s="20" t="s">
        <v>902</v>
      </c>
      <c r="C364" s="21">
        <v>66</v>
      </c>
      <c r="D364" s="20" t="s">
        <v>1057</v>
      </c>
      <c r="E364" s="20" t="s">
        <v>1020</v>
      </c>
      <c r="F364" s="20" t="s">
        <v>1027</v>
      </c>
      <c r="G364" s="20" t="s">
        <v>1034</v>
      </c>
      <c r="H364" s="29">
        <v>45751</v>
      </c>
      <c r="I364" s="29">
        <v>45755</v>
      </c>
      <c r="J364" s="24">
        <v>367855</v>
      </c>
      <c r="K364" s="21">
        <v>9</v>
      </c>
      <c r="L364" s="21">
        <v>18</v>
      </c>
      <c r="M364" s="21">
        <v>2</v>
      </c>
      <c r="N364" s="24">
        <v>0</v>
      </c>
      <c r="O364" s="21">
        <v>4</v>
      </c>
      <c r="P364" t="str">
        <f t="shared" si="10"/>
        <v>Older Adults</v>
      </c>
      <c r="Q364" t="str">
        <f t="shared" si="11"/>
        <v>High</v>
      </c>
      <c r="R364" t="str">
        <f>IF(OR(AND(Table1[[#This Row],[Diagnosis]]="Labour Complication",Table1[[#This Row],[Gender]]="M"), AND(Table1[[#This Row],[Diagnosis]]="Labour Complication",Table1[[#This Row],[Age]]&lt;15)),"Error","OK")</f>
        <v>OK</v>
      </c>
      <c r="S364" s="4">
        <f>Table1[[#This Row],[Bill_Amount]]+Table1[[#This Row],[Surgery_Cost]]</f>
        <v>367855</v>
      </c>
    </row>
    <row r="365" spans="1:19" x14ac:dyDescent="0.35">
      <c r="A365" s="16" t="s">
        <v>403</v>
      </c>
      <c r="B365" s="17" t="s">
        <v>903</v>
      </c>
      <c r="C365" s="18">
        <v>51</v>
      </c>
      <c r="D365" s="17" t="s">
        <v>1058</v>
      </c>
      <c r="E365" s="17" t="s">
        <v>1019</v>
      </c>
      <c r="F365" s="17" t="s">
        <v>1026</v>
      </c>
      <c r="G365" s="17" t="s">
        <v>1038</v>
      </c>
      <c r="H365" s="30">
        <v>45795</v>
      </c>
      <c r="I365" s="30">
        <v>45802</v>
      </c>
      <c r="J365" s="25">
        <v>135197</v>
      </c>
      <c r="K365" s="18">
        <v>9</v>
      </c>
      <c r="L365" s="18">
        <v>18</v>
      </c>
      <c r="M365" s="18">
        <v>4</v>
      </c>
      <c r="N365" s="25">
        <v>0</v>
      </c>
      <c r="O365" s="18">
        <v>7</v>
      </c>
      <c r="P365" t="str">
        <f t="shared" si="10"/>
        <v>Adults</v>
      </c>
      <c r="Q365" t="str">
        <f t="shared" si="11"/>
        <v>Medium</v>
      </c>
      <c r="R365" t="str">
        <f>IF(OR(AND(Table1[[#This Row],[Diagnosis]]="Labour Complication",Table1[[#This Row],[Gender]]="M"), AND(Table1[[#This Row],[Diagnosis]]="Labour Complication",Table1[[#This Row],[Age]]&lt;15)),"Error","OK")</f>
        <v>OK</v>
      </c>
      <c r="S365" s="4">
        <f>Table1[[#This Row],[Bill_Amount]]+Table1[[#This Row],[Surgery_Cost]]</f>
        <v>135197</v>
      </c>
    </row>
    <row r="366" spans="1:19" x14ac:dyDescent="0.35">
      <c r="A366" s="19" t="s">
        <v>404</v>
      </c>
      <c r="B366" s="20" t="s">
        <v>904</v>
      </c>
      <c r="C366" s="21">
        <v>69</v>
      </c>
      <c r="D366" s="20" t="s">
        <v>1058</v>
      </c>
      <c r="E366" s="20" t="s">
        <v>1019</v>
      </c>
      <c r="F366" s="20" t="s">
        <v>1026</v>
      </c>
      <c r="G366" s="20" t="s">
        <v>1038</v>
      </c>
      <c r="H366" s="29">
        <v>45786</v>
      </c>
      <c r="I366" s="29">
        <v>45801</v>
      </c>
      <c r="J366" s="24">
        <v>317236</v>
      </c>
      <c r="K366" s="21">
        <v>1</v>
      </c>
      <c r="L366" s="21">
        <v>9</v>
      </c>
      <c r="M366" s="21">
        <v>4</v>
      </c>
      <c r="N366" s="24">
        <v>0</v>
      </c>
      <c r="O366" s="21">
        <v>15</v>
      </c>
      <c r="P366" t="str">
        <f t="shared" si="10"/>
        <v>Older Adults</v>
      </c>
      <c r="Q366" t="str">
        <f t="shared" si="11"/>
        <v>High</v>
      </c>
      <c r="R366" t="str">
        <f>IF(OR(AND(Table1[[#This Row],[Diagnosis]]="Labour Complication",Table1[[#This Row],[Gender]]="M"), AND(Table1[[#This Row],[Diagnosis]]="Labour Complication",Table1[[#This Row],[Age]]&lt;15)),"Error","OK")</f>
        <v>OK</v>
      </c>
      <c r="S366" s="4">
        <f>Table1[[#This Row],[Bill_Amount]]+Table1[[#This Row],[Surgery_Cost]]</f>
        <v>317236</v>
      </c>
    </row>
    <row r="367" spans="1:19" x14ac:dyDescent="0.35">
      <c r="A367" s="16" t="s">
        <v>405</v>
      </c>
      <c r="B367" s="17" t="s">
        <v>905</v>
      </c>
      <c r="C367" s="18">
        <v>48</v>
      </c>
      <c r="D367" s="17" t="s">
        <v>1058</v>
      </c>
      <c r="E367" s="17" t="s">
        <v>1020</v>
      </c>
      <c r="F367" s="17" t="s">
        <v>1027</v>
      </c>
      <c r="G367" s="17" t="s">
        <v>1043</v>
      </c>
      <c r="H367" s="30">
        <v>45782</v>
      </c>
      <c r="I367" s="30">
        <v>45797</v>
      </c>
      <c r="J367" s="25">
        <v>58722</v>
      </c>
      <c r="K367" s="18">
        <v>4</v>
      </c>
      <c r="L367" s="18">
        <v>2</v>
      </c>
      <c r="M367" s="18">
        <v>2</v>
      </c>
      <c r="N367" s="25">
        <v>0</v>
      </c>
      <c r="O367" s="18">
        <v>15</v>
      </c>
      <c r="P367" t="str">
        <f t="shared" si="10"/>
        <v>Adults</v>
      </c>
      <c r="Q367" t="str">
        <f t="shared" si="11"/>
        <v>Low</v>
      </c>
      <c r="R367" t="str">
        <f>IF(OR(AND(Table1[[#This Row],[Diagnosis]]="Labour Complication",Table1[[#This Row],[Gender]]="M"), AND(Table1[[#This Row],[Diagnosis]]="Labour Complication",Table1[[#This Row],[Age]]&lt;15)),"Error","OK")</f>
        <v>OK</v>
      </c>
      <c r="S367" s="4">
        <f>Table1[[#This Row],[Bill_Amount]]+Table1[[#This Row],[Surgery_Cost]]</f>
        <v>58722</v>
      </c>
    </row>
    <row r="368" spans="1:19" x14ac:dyDescent="0.35">
      <c r="A368" s="19" t="s">
        <v>406</v>
      </c>
      <c r="B368" s="20" t="s">
        <v>906</v>
      </c>
      <c r="C368" s="21">
        <v>89</v>
      </c>
      <c r="D368" s="20" t="s">
        <v>1057</v>
      </c>
      <c r="E368" s="20" t="s">
        <v>1020</v>
      </c>
      <c r="F368" s="20" t="s">
        <v>1027</v>
      </c>
      <c r="G368" s="20" t="s">
        <v>1034</v>
      </c>
      <c r="H368" s="29">
        <v>45789</v>
      </c>
      <c r="I368" s="29">
        <v>45800</v>
      </c>
      <c r="J368" s="24">
        <v>211311</v>
      </c>
      <c r="K368" s="21">
        <v>9</v>
      </c>
      <c r="L368" s="21">
        <v>3</v>
      </c>
      <c r="M368" s="21">
        <v>3</v>
      </c>
      <c r="N368" s="24">
        <v>0</v>
      </c>
      <c r="O368" s="21">
        <v>11</v>
      </c>
      <c r="P368" t="str">
        <f t="shared" si="10"/>
        <v>Older Adults</v>
      </c>
      <c r="Q368" t="str">
        <f t="shared" si="11"/>
        <v>High</v>
      </c>
      <c r="R368" t="str">
        <f>IF(OR(AND(Table1[[#This Row],[Diagnosis]]="Labour Complication",Table1[[#This Row],[Gender]]="M"), AND(Table1[[#This Row],[Diagnosis]]="Labour Complication",Table1[[#This Row],[Age]]&lt;15)),"Error","OK")</f>
        <v>OK</v>
      </c>
      <c r="S368" s="4">
        <f>Table1[[#This Row],[Bill_Amount]]+Table1[[#This Row],[Surgery_Cost]]</f>
        <v>211311</v>
      </c>
    </row>
    <row r="369" spans="1:19" x14ac:dyDescent="0.35">
      <c r="A369" s="16" t="s">
        <v>407</v>
      </c>
      <c r="B369" s="17" t="s">
        <v>907</v>
      </c>
      <c r="C369" s="18">
        <v>75</v>
      </c>
      <c r="D369" s="17" t="s">
        <v>1057</v>
      </c>
      <c r="E369" s="17" t="s">
        <v>1021</v>
      </c>
      <c r="F369" s="17" t="s">
        <v>1028</v>
      </c>
      <c r="G369" s="17" t="s">
        <v>1035</v>
      </c>
      <c r="H369" s="30">
        <v>45784</v>
      </c>
      <c r="I369" s="30">
        <v>45796</v>
      </c>
      <c r="J369" s="25">
        <v>460467</v>
      </c>
      <c r="K369" s="18">
        <v>7</v>
      </c>
      <c r="L369" s="18">
        <v>9</v>
      </c>
      <c r="M369" s="18">
        <v>4</v>
      </c>
      <c r="N369" s="25">
        <v>271613</v>
      </c>
      <c r="O369" s="18">
        <v>12</v>
      </c>
      <c r="P369" t="str">
        <f t="shared" si="10"/>
        <v>Older Adults</v>
      </c>
      <c r="Q369" t="str">
        <f t="shared" si="11"/>
        <v>High</v>
      </c>
      <c r="R369" t="str">
        <f>IF(OR(AND(Table1[[#This Row],[Diagnosis]]="Labour Complication",Table1[[#This Row],[Gender]]="M"), AND(Table1[[#This Row],[Diagnosis]]="Labour Complication",Table1[[#This Row],[Age]]&lt;15)),"Error","OK")</f>
        <v>OK</v>
      </c>
      <c r="S369" s="4">
        <f>Table1[[#This Row],[Bill_Amount]]+Table1[[#This Row],[Surgery_Cost]]</f>
        <v>732080</v>
      </c>
    </row>
    <row r="370" spans="1:19" x14ac:dyDescent="0.35">
      <c r="A370" s="19" t="s">
        <v>408</v>
      </c>
      <c r="B370" s="20" t="s">
        <v>908</v>
      </c>
      <c r="C370" s="21">
        <v>68</v>
      </c>
      <c r="D370" s="20" t="s">
        <v>1058</v>
      </c>
      <c r="E370" s="20" t="s">
        <v>1019</v>
      </c>
      <c r="F370" s="20" t="s">
        <v>1026</v>
      </c>
      <c r="G370" s="20" t="s">
        <v>1033</v>
      </c>
      <c r="H370" s="29">
        <v>45750</v>
      </c>
      <c r="I370" s="29">
        <v>45759</v>
      </c>
      <c r="J370" s="24">
        <v>139397</v>
      </c>
      <c r="K370" s="21">
        <v>3</v>
      </c>
      <c r="L370" s="21">
        <v>15</v>
      </c>
      <c r="M370" s="21">
        <v>3</v>
      </c>
      <c r="N370" s="24">
        <v>0</v>
      </c>
      <c r="O370" s="21">
        <v>9</v>
      </c>
      <c r="P370" t="str">
        <f t="shared" si="10"/>
        <v>Older Adults</v>
      </c>
      <c r="Q370" t="str">
        <f t="shared" si="11"/>
        <v>Medium</v>
      </c>
      <c r="R370" t="str">
        <f>IF(OR(AND(Table1[[#This Row],[Diagnosis]]="Labour Complication",Table1[[#This Row],[Gender]]="M"), AND(Table1[[#This Row],[Diagnosis]]="Labour Complication",Table1[[#This Row],[Age]]&lt;15)),"Error","OK")</f>
        <v>OK</v>
      </c>
      <c r="S370" s="4">
        <f>Table1[[#This Row],[Bill_Amount]]+Table1[[#This Row],[Surgery_Cost]]</f>
        <v>139397</v>
      </c>
    </row>
    <row r="371" spans="1:19" x14ac:dyDescent="0.35">
      <c r="A371" s="16" t="s">
        <v>409</v>
      </c>
      <c r="B371" s="17" t="s">
        <v>909</v>
      </c>
      <c r="C371" s="18">
        <v>5</v>
      </c>
      <c r="D371" s="17" t="s">
        <v>1057</v>
      </c>
      <c r="E371" s="17" t="s">
        <v>1022</v>
      </c>
      <c r="F371" s="17" t="s">
        <v>1029</v>
      </c>
      <c r="G371" s="17" t="s">
        <v>1039</v>
      </c>
      <c r="H371" s="30">
        <v>45750</v>
      </c>
      <c r="I371" s="30">
        <v>45762</v>
      </c>
      <c r="J371" s="25">
        <v>176980</v>
      </c>
      <c r="K371" s="18">
        <v>6</v>
      </c>
      <c r="L371" s="18">
        <v>13</v>
      </c>
      <c r="M371" s="18">
        <v>1</v>
      </c>
      <c r="N371" s="25">
        <v>0</v>
      </c>
      <c r="O371" s="18">
        <v>12</v>
      </c>
      <c r="P371" t="str">
        <f t="shared" si="10"/>
        <v>Children</v>
      </c>
      <c r="Q371" t="str">
        <f t="shared" si="11"/>
        <v>High</v>
      </c>
      <c r="R371" t="str">
        <f>IF(OR(AND(Table1[[#This Row],[Diagnosis]]="Labour Complication",Table1[[#This Row],[Gender]]="M"), AND(Table1[[#This Row],[Diagnosis]]="Labour Complication",Table1[[#This Row],[Age]]&lt;15)),"Error","OK")</f>
        <v>OK</v>
      </c>
      <c r="S371" s="4">
        <f>Table1[[#This Row],[Bill_Amount]]+Table1[[#This Row],[Surgery_Cost]]</f>
        <v>176980</v>
      </c>
    </row>
    <row r="372" spans="1:19" x14ac:dyDescent="0.35">
      <c r="A372" s="19" t="s">
        <v>410</v>
      </c>
      <c r="B372" s="20" t="s">
        <v>910</v>
      </c>
      <c r="C372" s="21">
        <v>54</v>
      </c>
      <c r="D372" s="20" t="s">
        <v>1057</v>
      </c>
      <c r="E372" s="20" t="s">
        <v>1018</v>
      </c>
      <c r="F372" s="20" t="s">
        <v>1025</v>
      </c>
      <c r="G372" s="20" t="s">
        <v>1037</v>
      </c>
      <c r="H372" s="29">
        <v>45799</v>
      </c>
      <c r="I372" s="29">
        <v>45808</v>
      </c>
      <c r="J372" s="24">
        <v>214465</v>
      </c>
      <c r="K372" s="21">
        <v>4</v>
      </c>
      <c r="L372" s="21">
        <v>16</v>
      </c>
      <c r="M372" s="21">
        <v>3</v>
      </c>
      <c r="N372" s="24">
        <v>0</v>
      </c>
      <c r="O372" s="21">
        <v>9</v>
      </c>
      <c r="P372" t="str">
        <f t="shared" si="10"/>
        <v>Adults</v>
      </c>
      <c r="Q372" t="str">
        <f t="shared" si="11"/>
        <v>High</v>
      </c>
      <c r="R372" t="str">
        <f>IF(OR(AND(Table1[[#This Row],[Diagnosis]]="Labour Complication",Table1[[#This Row],[Gender]]="M"), AND(Table1[[#This Row],[Diagnosis]]="Labour Complication",Table1[[#This Row],[Age]]&lt;15)),"Error","OK")</f>
        <v>OK</v>
      </c>
      <c r="S372" s="4">
        <f>Table1[[#This Row],[Bill_Amount]]+Table1[[#This Row],[Surgery_Cost]]</f>
        <v>214465</v>
      </c>
    </row>
    <row r="373" spans="1:19" x14ac:dyDescent="0.35">
      <c r="A373" s="16" t="s">
        <v>411</v>
      </c>
      <c r="B373" s="17" t="s">
        <v>911</v>
      </c>
      <c r="C373" s="18">
        <v>65</v>
      </c>
      <c r="D373" s="17" t="s">
        <v>1058</v>
      </c>
      <c r="E373" s="17" t="s">
        <v>1016</v>
      </c>
      <c r="F373" s="17" t="s">
        <v>1023</v>
      </c>
      <c r="G373" s="17" t="s">
        <v>1030</v>
      </c>
      <c r="H373" s="30">
        <v>45760</v>
      </c>
      <c r="I373" s="30">
        <v>45765</v>
      </c>
      <c r="J373" s="25">
        <v>265155</v>
      </c>
      <c r="K373" s="18">
        <v>4</v>
      </c>
      <c r="L373" s="18">
        <v>11</v>
      </c>
      <c r="M373" s="18">
        <v>4</v>
      </c>
      <c r="N373" s="25">
        <v>0</v>
      </c>
      <c r="O373" s="18">
        <v>5</v>
      </c>
      <c r="P373" t="str">
        <f t="shared" si="10"/>
        <v>Older Adults</v>
      </c>
      <c r="Q373" t="str">
        <f t="shared" si="11"/>
        <v>High</v>
      </c>
      <c r="R373" t="str">
        <f>IF(OR(AND(Table1[[#This Row],[Diagnosis]]="Labour Complication",Table1[[#This Row],[Gender]]="M"), AND(Table1[[#This Row],[Diagnosis]]="Labour Complication",Table1[[#This Row],[Age]]&lt;15)),"Error","OK")</f>
        <v>OK</v>
      </c>
      <c r="S373" s="4">
        <f>Table1[[#This Row],[Bill_Amount]]+Table1[[#This Row],[Surgery_Cost]]</f>
        <v>265155</v>
      </c>
    </row>
    <row r="374" spans="1:19" x14ac:dyDescent="0.35">
      <c r="A374" s="19" t="s">
        <v>412</v>
      </c>
      <c r="B374" s="20" t="s">
        <v>912</v>
      </c>
      <c r="C374" s="21">
        <v>27</v>
      </c>
      <c r="D374" s="20" t="s">
        <v>1058</v>
      </c>
      <c r="E374" s="20" t="s">
        <v>1016</v>
      </c>
      <c r="F374" s="20" t="s">
        <v>1023</v>
      </c>
      <c r="G374" s="20" t="s">
        <v>1040</v>
      </c>
      <c r="H374" s="29">
        <v>45782</v>
      </c>
      <c r="I374" s="29">
        <v>45786</v>
      </c>
      <c r="J374" s="24">
        <v>321939</v>
      </c>
      <c r="K374" s="21">
        <v>8</v>
      </c>
      <c r="L374" s="21">
        <v>16</v>
      </c>
      <c r="M374" s="21">
        <v>3</v>
      </c>
      <c r="N374" s="24">
        <v>0</v>
      </c>
      <c r="O374" s="21">
        <v>4</v>
      </c>
      <c r="P374" t="str">
        <f t="shared" si="10"/>
        <v>Adults</v>
      </c>
      <c r="Q374" t="str">
        <f t="shared" si="11"/>
        <v>High</v>
      </c>
      <c r="R374" t="str">
        <f>IF(OR(AND(Table1[[#This Row],[Diagnosis]]="Labour Complication",Table1[[#This Row],[Gender]]="M"), AND(Table1[[#This Row],[Diagnosis]]="Labour Complication",Table1[[#This Row],[Age]]&lt;15)),"Error","OK")</f>
        <v>OK</v>
      </c>
      <c r="S374" s="4">
        <f>Table1[[#This Row],[Bill_Amount]]+Table1[[#This Row],[Surgery_Cost]]</f>
        <v>321939</v>
      </c>
    </row>
    <row r="375" spans="1:19" x14ac:dyDescent="0.35">
      <c r="A375" s="16" t="s">
        <v>413</v>
      </c>
      <c r="B375" s="17" t="s">
        <v>913</v>
      </c>
      <c r="C375" s="18">
        <v>23</v>
      </c>
      <c r="D375" s="17" t="s">
        <v>1058</v>
      </c>
      <c r="E375" s="17" t="s">
        <v>1019</v>
      </c>
      <c r="F375" s="17" t="s">
        <v>1026</v>
      </c>
      <c r="G375" s="17" t="s">
        <v>1038</v>
      </c>
      <c r="H375" s="30">
        <v>45792</v>
      </c>
      <c r="I375" s="30">
        <v>45800</v>
      </c>
      <c r="J375" s="25">
        <v>214496</v>
      </c>
      <c r="K375" s="18">
        <v>3</v>
      </c>
      <c r="L375" s="18">
        <v>16</v>
      </c>
      <c r="M375" s="18">
        <v>1</v>
      </c>
      <c r="N375" s="25">
        <v>0</v>
      </c>
      <c r="O375" s="18">
        <v>8</v>
      </c>
      <c r="P375" t="str">
        <f t="shared" si="10"/>
        <v>Adults</v>
      </c>
      <c r="Q375" t="str">
        <f t="shared" si="11"/>
        <v>High</v>
      </c>
      <c r="R375" t="str">
        <f>IF(OR(AND(Table1[[#This Row],[Diagnosis]]="Labour Complication",Table1[[#This Row],[Gender]]="M"), AND(Table1[[#This Row],[Diagnosis]]="Labour Complication",Table1[[#This Row],[Age]]&lt;15)),"Error","OK")</f>
        <v>OK</v>
      </c>
      <c r="S375" s="4">
        <f>Table1[[#This Row],[Bill_Amount]]+Table1[[#This Row],[Surgery_Cost]]</f>
        <v>214496</v>
      </c>
    </row>
    <row r="376" spans="1:19" x14ac:dyDescent="0.35">
      <c r="A376" s="19" t="s">
        <v>414</v>
      </c>
      <c r="B376" s="20" t="s">
        <v>914</v>
      </c>
      <c r="C376" s="21">
        <v>88</v>
      </c>
      <c r="D376" s="20" t="s">
        <v>1058</v>
      </c>
      <c r="E376" s="20" t="s">
        <v>1019</v>
      </c>
      <c r="F376" s="20" t="s">
        <v>1026</v>
      </c>
      <c r="G376" s="20" t="s">
        <v>1038</v>
      </c>
      <c r="H376" s="29">
        <v>45788</v>
      </c>
      <c r="I376" s="29">
        <v>45795</v>
      </c>
      <c r="J376" s="24">
        <v>404349</v>
      </c>
      <c r="K376" s="21">
        <v>4</v>
      </c>
      <c r="L376" s="21">
        <v>19</v>
      </c>
      <c r="M376" s="21">
        <v>4</v>
      </c>
      <c r="N376" s="24">
        <v>0</v>
      </c>
      <c r="O376" s="21">
        <v>7</v>
      </c>
      <c r="P376" t="str">
        <f t="shared" si="10"/>
        <v>Older Adults</v>
      </c>
      <c r="Q376" t="str">
        <f t="shared" si="11"/>
        <v>High</v>
      </c>
      <c r="R376" t="str">
        <f>IF(OR(AND(Table1[[#This Row],[Diagnosis]]="Labour Complication",Table1[[#This Row],[Gender]]="M"), AND(Table1[[#This Row],[Diagnosis]]="Labour Complication",Table1[[#This Row],[Age]]&lt;15)),"Error","OK")</f>
        <v>OK</v>
      </c>
      <c r="S376" s="4">
        <f>Table1[[#This Row],[Bill_Amount]]+Table1[[#This Row],[Surgery_Cost]]</f>
        <v>404349</v>
      </c>
    </row>
    <row r="377" spans="1:19" x14ac:dyDescent="0.35">
      <c r="A377" s="16" t="s">
        <v>415</v>
      </c>
      <c r="B377" s="17" t="s">
        <v>915</v>
      </c>
      <c r="C377" s="18">
        <v>72</v>
      </c>
      <c r="D377" s="17" t="s">
        <v>1058</v>
      </c>
      <c r="E377" s="17" t="s">
        <v>1017</v>
      </c>
      <c r="F377" s="17" t="s">
        <v>1024</v>
      </c>
      <c r="G377" s="17" t="s">
        <v>1042</v>
      </c>
      <c r="H377" s="30">
        <v>45766</v>
      </c>
      <c r="I377" s="30">
        <v>45771</v>
      </c>
      <c r="J377" s="25">
        <v>196279</v>
      </c>
      <c r="K377" s="18">
        <v>7</v>
      </c>
      <c r="L377" s="18">
        <v>8</v>
      </c>
      <c r="M377" s="18">
        <v>2</v>
      </c>
      <c r="N377" s="25">
        <v>0</v>
      </c>
      <c r="O377" s="18">
        <v>5</v>
      </c>
      <c r="P377" t="str">
        <f t="shared" si="10"/>
        <v>Older Adults</v>
      </c>
      <c r="Q377" t="str">
        <f t="shared" si="11"/>
        <v>High</v>
      </c>
      <c r="R377" t="str">
        <f>IF(OR(AND(Table1[[#This Row],[Diagnosis]]="Labour Complication",Table1[[#This Row],[Gender]]="M"), AND(Table1[[#This Row],[Diagnosis]]="Labour Complication",Table1[[#This Row],[Age]]&lt;15)),"Error","OK")</f>
        <v>OK</v>
      </c>
      <c r="S377" s="4">
        <f>Table1[[#This Row],[Bill_Amount]]+Table1[[#This Row],[Surgery_Cost]]</f>
        <v>196279</v>
      </c>
    </row>
    <row r="378" spans="1:19" x14ac:dyDescent="0.35">
      <c r="A378" s="19" t="s">
        <v>416</v>
      </c>
      <c r="B378" s="20" t="s">
        <v>916</v>
      </c>
      <c r="C378" s="21">
        <v>27</v>
      </c>
      <c r="D378" s="20" t="s">
        <v>1058</v>
      </c>
      <c r="E378" s="20" t="s">
        <v>1021</v>
      </c>
      <c r="F378" s="20" t="s">
        <v>1028</v>
      </c>
      <c r="G378" s="20" t="s">
        <v>1036</v>
      </c>
      <c r="H378" s="29">
        <v>45762</v>
      </c>
      <c r="I378" s="29">
        <v>45776</v>
      </c>
      <c r="J378" s="24">
        <v>201521</v>
      </c>
      <c r="K378" s="21">
        <v>5</v>
      </c>
      <c r="L378" s="21">
        <v>17</v>
      </c>
      <c r="M378" s="21">
        <v>4</v>
      </c>
      <c r="N378" s="24">
        <v>187273</v>
      </c>
      <c r="O378" s="21">
        <v>14</v>
      </c>
      <c r="P378" t="str">
        <f t="shared" si="10"/>
        <v>Adults</v>
      </c>
      <c r="Q378" t="str">
        <f t="shared" si="11"/>
        <v>High</v>
      </c>
      <c r="R378" t="str">
        <f>IF(OR(AND(Table1[[#This Row],[Diagnosis]]="Labour Complication",Table1[[#This Row],[Gender]]="M"), AND(Table1[[#This Row],[Diagnosis]]="Labour Complication",Table1[[#This Row],[Age]]&lt;15)),"Error","OK")</f>
        <v>OK</v>
      </c>
      <c r="S378" s="4">
        <f>Table1[[#This Row],[Bill_Amount]]+Table1[[#This Row],[Surgery_Cost]]</f>
        <v>388794</v>
      </c>
    </row>
    <row r="379" spans="1:19" x14ac:dyDescent="0.35">
      <c r="A379" s="16" t="s">
        <v>417</v>
      </c>
      <c r="B379" s="17" t="s">
        <v>917</v>
      </c>
      <c r="C379" s="18">
        <v>36</v>
      </c>
      <c r="D379" s="17" t="s">
        <v>1058</v>
      </c>
      <c r="E379" s="17" t="s">
        <v>1020</v>
      </c>
      <c r="F379" s="17" t="s">
        <v>1027</v>
      </c>
      <c r="G379" s="17" t="s">
        <v>1043</v>
      </c>
      <c r="H379" s="30">
        <v>45746</v>
      </c>
      <c r="I379" s="30">
        <v>45753</v>
      </c>
      <c r="J379" s="25">
        <v>343856</v>
      </c>
      <c r="K379" s="18">
        <v>8</v>
      </c>
      <c r="L379" s="18">
        <v>7</v>
      </c>
      <c r="M379" s="18">
        <v>4</v>
      </c>
      <c r="N379" s="25">
        <v>0</v>
      </c>
      <c r="O379" s="18">
        <v>7</v>
      </c>
      <c r="P379" t="str">
        <f t="shared" si="10"/>
        <v>Adults</v>
      </c>
      <c r="Q379" t="str">
        <f t="shared" si="11"/>
        <v>High</v>
      </c>
      <c r="R379" t="str">
        <f>IF(OR(AND(Table1[[#This Row],[Diagnosis]]="Labour Complication",Table1[[#This Row],[Gender]]="M"), AND(Table1[[#This Row],[Diagnosis]]="Labour Complication",Table1[[#This Row],[Age]]&lt;15)),"Error","OK")</f>
        <v>OK</v>
      </c>
      <c r="S379" s="4">
        <f>Table1[[#This Row],[Bill_Amount]]+Table1[[#This Row],[Surgery_Cost]]</f>
        <v>343856</v>
      </c>
    </row>
    <row r="380" spans="1:19" x14ac:dyDescent="0.35">
      <c r="A380" s="19" t="s">
        <v>418</v>
      </c>
      <c r="B380" s="20" t="s">
        <v>918</v>
      </c>
      <c r="C380" s="21">
        <v>49</v>
      </c>
      <c r="D380" s="20" t="s">
        <v>1058</v>
      </c>
      <c r="E380" s="20" t="s">
        <v>1019</v>
      </c>
      <c r="F380" s="20" t="s">
        <v>1026</v>
      </c>
      <c r="G380" s="20" t="s">
        <v>1038</v>
      </c>
      <c r="H380" s="29">
        <v>45792</v>
      </c>
      <c r="I380" s="29">
        <v>45804</v>
      </c>
      <c r="J380" s="24">
        <v>334788</v>
      </c>
      <c r="K380" s="21">
        <v>7</v>
      </c>
      <c r="L380" s="21">
        <v>9</v>
      </c>
      <c r="M380" s="21">
        <v>4</v>
      </c>
      <c r="N380" s="24">
        <v>0</v>
      </c>
      <c r="O380" s="21">
        <v>12</v>
      </c>
      <c r="P380" t="str">
        <f t="shared" si="10"/>
        <v>Adults</v>
      </c>
      <c r="Q380" t="str">
        <f t="shared" si="11"/>
        <v>High</v>
      </c>
      <c r="R380" t="str">
        <f>IF(OR(AND(Table1[[#This Row],[Diagnosis]]="Labour Complication",Table1[[#This Row],[Gender]]="M"), AND(Table1[[#This Row],[Diagnosis]]="Labour Complication",Table1[[#This Row],[Age]]&lt;15)),"Error","OK")</f>
        <v>OK</v>
      </c>
      <c r="S380" s="4">
        <f>Table1[[#This Row],[Bill_Amount]]+Table1[[#This Row],[Surgery_Cost]]</f>
        <v>334788</v>
      </c>
    </row>
    <row r="381" spans="1:19" x14ac:dyDescent="0.35">
      <c r="A381" s="16" t="s">
        <v>419</v>
      </c>
      <c r="B381" s="17" t="s">
        <v>919</v>
      </c>
      <c r="C381" s="18">
        <v>38</v>
      </c>
      <c r="D381" s="17" t="s">
        <v>1057</v>
      </c>
      <c r="E381" s="17" t="s">
        <v>1022</v>
      </c>
      <c r="F381" s="17" t="s">
        <v>1029</v>
      </c>
      <c r="G381" s="17" t="s">
        <v>1041</v>
      </c>
      <c r="H381" s="30">
        <v>45802</v>
      </c>
      <c r="I381" s="30">
        <v>45816</v>
      </c>
      <c r="J381" s="25">
        <v>126795</v>
      </c>
      <c r="K381" s="18">
        <v>6</v>
      </c>
      <c r="L381" s="18">
        <v>19</v>
      </c>
      <c r="M381" s="18">
        <v>4</v>
      </c>
      <c r="N381" s="25">
        <v>0</v>
      </c>
      <c r="O381" s="18">
        <v>14</v>
      </c>
      <c r="P381" t="str">
        <f t="shared" si="10"/>
        <v>Adults</v>
      </c>
      <c r="Q381" t="str">
        <f t="shared" si="11"/>
        <v>Medium</v>
      </c>
      <c r="R381" t="str">
        <f>IF(OR(AND(Table1[[#This Row],[Diagnosis]]="Labour Complication",Table1[[#This Row],[Gender]]="M"), AND(Table1[[#This Row],[Diagnosis]]="Labour Complication",Table1[[#This Row],[Age]]&lt;15)),"Error","OK")</f>
        <v>OK</v>
      </c>
      <c r="S381" s="4">
        <f>Table1[[#This Row],[Bill_Amount]]+Table1[[#This Row],[Surgery_Cost]]</f>
        <v>126795</v>
      </c>
    </row>
    <row r="382" spans="1:19" x14ac:dyDescent="0.35">
      <c r="A382" s="19" t="s">
        <v>420</v>
      </c>
      <c r="B382" s="20" t="s">
        <v>920</v>
      </c>
      <c r="C382" s="21">
        <v>57</v>
      </c>
      <c r="D382" s="20" t="s">
        <v>1058</v>
      </c>
      <c r="E382" s="20" t="s">
        <v>1016</v>
      </c>
      <c r="F382" s="20" t="s">
        <v>1023</v>
      </c>
      <c r="G382" s="20" t="s">
        <v>1040</v>
      </c>
      <c r="H382" s="29">
        <v>45767</v>
      </c>
      <c r="I382" s="29">
        <v>45770</v>
      </c>
      <c r="J382" s="24">
        <v>231594</v>
      </c>
      <c r="K382" s="21">
        <v>4</v>
      </c>
      <c r="L382" s="21">
        <v>6</v>
      </c>
      <c r="M382" s="21">
        <v>3</v>
      </c>
      <c r="N382" s="24">
        <v>0</v>
      </c>
      <c r="O382" s="21">
        <v>3</v>
      </c>
      <c r="P382" t="str">
        <f t="shared" si="10"/>
        <v>Adults</v>
      </c>
      <c r="Q382" t="str">
        <f t="shared" si="11"/>
        <v>High</v>
      </c>
      <c r="R382" t="str">
        <f>IF(OR(AND(Table1[[#This Row],[Diagnosis]]="Labour Complication",Table1[[#This Row],[Gender]]="M"), AND(Table1[[#This Row],[Diagnosis]]="Labour Complication",Table1[[#This Row],[Age]]&lt;15)),"Error","OK")</f>
        <v>OK</v>
      </c>
      <c r="S382" s="4">
        <f>Table1[[#This Row],[Bill_Amount]]+Table1[[#This Row],[Surgery_Cost]]</f>
        <v>231594</v>
      </c>
    </row>
    <row r="383" spans="1:19" x14ac:dyDescent="0.35">
      <c r="A383" s="19" t="s">
        <v>422</v>
      </c>
      <c r="B383" s="20" t="s">
        <v>922</v>
      </c>
      <c r="C383" s="21">
        <v>76</v>
      </c>
      <c r="D383" s="20" t="s">
        <v>1057</v>
      </c>
      <c r="E383" s="20" t="s">
        <v>1017</v>
      </c>
      <c r="F383" s="20" t="s">
        <v>1024</v>
      </c>
      <c r="G383" s="20" t="s">
        <v>1042</v>
      </c>
      <c r="H383" s="29">
        <v>45791</v>
      </c>
      <c r="I383" s="29">
        <v>45794</v>
      </c>
      <c r="J383" s="24">
        <v>372792</v>
      </c>
      <c r="K383" s="21">
        <v>1</v>
      </c>
      <c r="L383" s="21">
        <v>5</v>
      </c>
      <c r="M383" s="21">
        <v>4</v>
      </c>
      <c r="N383" s="24">
        <v>0</v>
      </c>
      <c r="O383" s="21">
        <v>3</v>
      </c>
      <c r="P383" t="str">
        <f t="shared" si="10"/>
        <v>Older Adults</v>
      </c>
      <c r="Q383" t="str">
        <f t="shared" si="11"/>
        <v>High</v>
      </c>
      <c r="R383" t="str">
        <f>IF(OR(AND(Table1[[#This Row],[Diagnosis]]="Labour Complication",Table1[[#This Row],[Gender]]="M"), AND(Table1[[#This Row],[Diagnosis]]="Labour Complication",Table1[[#This Row],[Age]]&lt;15)),"Error","OK")</f>
        <v>OK</v>
      </c>
      <c r="S383" s="4">
        <f>Table1[[#This Row],[Bill_Amount]]+Table1[[#This Row],[Surgery_Cost]]</f>
        <v>372792</v>
      </c>
    </row>
    <row r="384" spans="1:19" x14ac:dyDescent="0.35">
      <c r="A384" s="16" t="s">
        <v>423</v>
      </c>
      <c r="B384" s="17" t="s">
        <v>923</v>
      </c>
      <c r="C384" s="18">
        <v>29</v>
      </c>
      <c r="D384" s="17" t="s">
        <v>1057</v>
      </c>
      <c r="E384" s="17" t="s">
        <v>1018</v>
      </c>
      <c r="F384" s="17" t="s">
        <v>1025</v>
      </c>
      <c r="G384" s="17" t="s">
        <v>1044</v>
      </c>
      <c r="H384" s="30">
        <v>45787</v>
      </c>
      <c r="I384" s="30">
        <v>45799</v>
      </c>
      <c r="J384" s="25">
        <v>328418</v>
      </c>
      <c r="K384" s="18">
        <v>6</v>
      </c>
      <c r="L384" s="18">
        <v>9</v>
      </c>
      <c r="M384" s="18">
        <v>2</v>
      </c>
      <c r="N384" s="25">
        <v>0</v>
      </c>
      <c r="O384" s="18">
        <v>12</v>
      </c>
      <c r="P384" t="str">
        <f t="shared" si="10"/>
        <v>Adults</v>
      </c>
      <c r="Q384" t="str">
        <f t="shared" si="11"/>
        <v>High</v>
      </c>
      <c r="R384" t="str">
        <f>IF(OR(AND(Table1[[#This Row],[Diagnosis]]="Labour Complication",Table1[[#This Row],[Gender]]="M"), AND(Table1[[#This Row],[Diagnosis]]="Labour Complication",Table1[[#This Row],[Age]]&lt;15)),"Error","OK")</f>
        <v>OK</v>
      </c>
      <c r="S384" s="4">
        <f>Table1[[#This Row],[Bill_Amount]]+Table1[[#This Row],[Surgery_Cost]]</f>
        <v>328418</v>
      </c>
    </row>
    <row r="385" spans="1:19" x14ac:dyDescent="0.35">
      <c r="A385" s="19" t="s">
        <v>424</v>
      </c>
      <c r="B385" s="20" t="s">
        <v>924</v>
      </c>
      <c r="C385" s="21">
        <v>61</v>
      </c>
      <c r="D385" s="20" t="s">
        <v>1057</v>
      </c>
      <c r="E385" s="20" t="s">
        <v>1018</v>
      </c>
      <c r="F385" s="20" t="s">
        <v>1025</v>
      </c>
      <c r="G385" s="20" t="s">
        <v>1032</v>
      </c>
      <c r="H385" s="29">
        <v>45762</v>
      </c>
      <c r="I385" s="29">
        <v>45770</v>
      </c>
      <c r="J385" s="24">
        <v>223168</v>
      </c>
      <c r="K385" s="21">
        <v>4</v>
      </c>
      <c r="L385" s="21">
        <v>10</v>
      </c>
      <c r="M385" s="21">
        <v>1</v>
      </c>
      <c r="N385" s="24">
        <v>0</v>
      </c>
      <c r="O385" s="21">
        <v>8</v>
      </c>
      <c r="P385" t="str">
        <f t="shared" si="10"/>
        <v>Older Adults</v>
      </c>
      <c r="Q385" t="str">
        <f t="shared" si="11"/>
        <v>High</v>
      </c>
      <c r="R385" t="str">
        <f>IF(OR(AND(Table1[[#This Row],[Diagnosis]]="Labour Complication",Table1[[#This Row],[Gender]]="M"), AND(Table1[[#This Row],[Diagnosis]]="Labour Complication",Table1[[#This Row],[Age]]&lt;15)),"Error","OK")</f>
        <v>OK</v>
      </c>
      <c r="S385" s="4">
        <f>Table1[[#This Row],[Bill_Amount]]+Table1[[#This Row],[Surgery_Cost]]</f>
        <v>223168</v>
      </c>
    </row>
    <row r="386" spans="1:19" x14ac:dyDescent="0.35">
      <c r="A386" s="16" t="s">
        <v>425</v>
      </c>
      <c r="B386" s="17" t="s">
        <v>925</v>
      </c>
      <c r="C386" s="18">
        <v>71</v>
      </c>
      <c r="D386" s="17" t="s">
        <v>1057</v>
      </c>
      <c r="E386" s="17" t="s">
        <v>1022</v>
      </c>
      <c r="F386" s="17" t="s">
        <v>1029</v>
      </c>
      <c r="G386" s="17" t="s">
        <v>1041</v>
      </c>
      <c r="H386" s="30">
        <v>45780</v>
      </c>
      <c r="I386" s="30">
        <v>45784</v>
      </c>
      <c r="J386" s="25">
        <v>52716</v>
      </c>
      <c r="K386" s="18">
        <v>6</v>
      </c>
      <c r="L386" s="18">
        <v>8</v>
      </c>
      <c r="M386" s="18">
        <v>4</v>
      </c>
      <c r="N386" s="25">
        <v>0</v>
      </c>
      <c r="O386" s="18">
        <v>4</v>
      </c>
      <c r="P386" t="str">
        <f t="shared" ref="P386:P449" si="12">IF(C386&lt;=12,"Children", IF(C386&lt;=19,"Teenagers", IF(C386&lt;60, "Adults","Older Adults")))</f>
        <v>Older Adults</v>
      </c>
      <c r="Q386" t="str">
        <f t="shared" ref="Q386:Q449" si="13">IF(J386&lt;100000,"Low", IF(J386&lt;150000,"Medium","High"))</f>
        <v>Low</v>
      </c>
      <c r="R386" t="str">
        <f>IF(OR(AND(Table1[[#This Row],[Diagnosis]]="Labour Complication",Table1[[#This Row],[Gender]]="M"), AND(Table1[[#This Row],[Diagnosis]]="Labour Complication",Table1[[#This Row],[Age]]&lt;15)),"Error","OK")</f>
        <v>OK</v>
      </c>
      <c r="S386" s="4">
        <f>Table1[[#This Row],[Bill_Amount]]+Table1[[#This Row],[Surgery_Cost]]</f>
        <v>52716</v>
      </c>
    </row>
    <row r="387" spans="1:19" x14ac:dyDescent="0.35">
      <c r="A387" s="19" t="s">
        <v>426</v>
      </c>
      <c r="B387" s="20" t="s">
        <v>926</v>
      </c>
      <c r="C387" s="21">
        <v>84</v>
      </c>
      <c r="D387" s="20" t="s">
        <v>1057</v>
      </c>
      <c r="E387" s="20" t="s">
        <v>1016</v>
      </c>
      <c r="F387" s="20" t="s">
        <v>1023</v>
      </c>
      <c r="G387" s="20" t="s">
        <v>1040</v>
      </c>
      <c r="H387" s="29">
        <v>45779</v>
      </c>
      <c r="I387" s="29">
        <v>45788</v>
      </c>
      <c r="J387" s="24">
        <v>300320</v>
      </c>
      <c r="K387" s="21">
        <v>6</v>
      </c>
      <c r="L387" s="21">
        <v>4</v>
      </c>
      <c r="M387" s="21">
        <v>4</v>
      </c>
      <c r="N387" s="24">
        <v>0</v>
      </c>
      <c r="O387" s="21">
        <v>9</v>
      </c>
      <c r="P387" t="str">
        <f t="shared" si="12"/>
        <v>Older Adults</v>
      </c>
      <c r="Q387" t="str">
        <f t="shared" si="13"/>
        <v>High</v>
      </c>
      <c r="R387" t="str">
        <f>IF(OR(AND(Table1[[#This Row],[Diagnosis]]="Labour Complication",Table1[[#This Row],[Gender]]="M"), AND(Table1[[#This Row],[Diagnosis]]="Labour Complication",Table1[[#This Row],[Age]]&lt;15)),"Error","OK")</f>
        <v>OK</v>
      </c>
      <c r="S387" s="4">
        <f>Table1[[#This Row],[Bill_Amount]]+Table1[[#This Row],[Surgery_Cost]]</f>
        <v>300320</v>
      </c>
    </row>
    <row r="388" spans="1:19" x14ac:dyDescent="0.35">
      <c r="A388" s="16" t="s">
        <v>427</v>
      </c>
      <c r="B388" s="17" t="s">
        <v>927</v>
      </c>
      <c r="C388" s="18">
        <v>8</v>
      </c>
      <c r="D388" s="17" t="s">
        <v>1057</v>
      </c>
      <c r="E388" s="17" t="s">
        <v>1021</v>
      </c>
      <c r="F388" s="17" t="s">
        <v>1028</v>
      </c>
      <c r="G388" s="17" t="s">
        <v>1035</v>
      </c>
      <c r="H388" s="30">
        <v>45759</v>
      </c>
      <c r="I388" s="30">
        <v>45765</v>
      </c>
      <c r="J388" s="25">
        <v>388636</v>
      </c>
      <c r="K388" s="18">
        <v>3</v>
      </c>
      <c r="L388" s="18">
        <v>10</v>
      </c>
      <c r="M388" s="18">
        <v>2</v>
      </c>
      <c r="N388" s="25">
        <v>277795</v>
      </c>
      <c r="O388" s="18">
        <v>6</v>
      </c>
      <c r="P388" t="str">
        <f t="shared" si="12"/>
        <v>Children</v>
      </c>
      <c r="Q388" t="str">
        <f t="shared" si="13"/>
        <v>High</v>
      </c>
      <c r="R388" t="str">
        <f>IF(OR(AND(Table1[[#This Row],[Diagnosis]]="Labour Complication",Table1[[#This Row],[Gender]]="M"), AND(Table1[[#This Row],[Diagnosis]]="Labour Complication",Table1[[#This Row],[Age]]&lt;15)),"Error","OK")</f>
        <v>OK</v>
      </c>
      <c r="S388" s="4">
        <f>Table1[[#This Row],[Bill_Amount]]+Table1[[#This Row],[Surgery_Cost]]</f>
        <v>666431</v>
      </c>
    </row>
    <row r="389" spans="1:19" x14ac:dyDescent="0.35">
      <c r="A389" s="19" t="s">
        <v>428</v>
      </c>
      <c r="B389" s="20" t="s">
        <v>928</v>
      </c>
      <c r="C389" s="21">
        <v>5</v>
      </c>
      <c r="D389" s="20" t="s">
        <v>1057</v>
      </c>
      <c r="E389" s="20" t="s">
        <v>1019</v>
      </c>
      <c r="F389" s="20" t="s">
        <v>1026</v>
      </c>
      <c r="G389" s="20" t="s">
        <v>1038</v>
      </c>
      <c r="H389" s="29">
        <v>45785</v>
      </c>
      <c r="I389" s="29">
        <v>45798</v>
      </c>
      <c r="J389" s="24">
        <v>429121</v>
      </c>
      <c r="K389" s="21">
        <v>9</v>
      </c>
      <c r="L389" s="21">
        <v>3</v>
      </c>
      <c r="M389" s="21">
        <v>2</v>
      </c>
      <c r="N389" s="24">
        <v>0</v>
      </c>
      <c r="O389" s="21">
        <v>13</v>
      </c>
      <c r="P389" t="str">
        <f t="shared" si="12"/>
        <v>Children</v>
      </c>
      <c r="Q389" t="str">
        <f t="shared" si="13"/>
        <v>High</v>
      </c>
      <c r="R389" t="str">
        <f>IF(OR(AND(Table1[[#This Row],[Diagnosis]]="Labour Complication",Table1[[#This Row],[Gender]]="M"), AND(Table1[[#This Row],[Diagnosis]]="Labour Complication",Table1[[#This Row],[Age]]&lt;15)),"Error","OK")</f>
        <v>OK</v>
      </c>
      <c r="S389" s="4">
        <f>Table1[[#This Row],[Bill_Amount]]+Table1[[#This Row],[Surgery_Cost]]</f>
        <v>429121</v>
      </c>
    </row>
    <row r="390" spans="1:19" x14ac:dyDescent="0.35">
      <c r="A390" s="16" t="s">
        <v>429</v>
      </c>
      <c r="B390" s="17" t="s">
        <v>929</v>
      </c>
      <c r="C390" s="18">
        <v>51</v>
      </c>
      <c r="D390" s="17" t="s">
        <v>1058</v>
      </c>
      <c r="E390" s="17" t="s">
        <v>1022</v>
      </c>
      <c r="F390" s="17" t="s">
        <v>1029</v>
      </c>
      <c r="G390" s="17" t="s">
        <v>1039</v>
      </c>
      <c r="H390" s="30">
        <v>45791</v>
      </c>
      <c r="I390" s="30">
        <v>45795</v>
      </c>
      <c r="J390" s="25">
        <v>69052</v>
      </c>
      <c r="K390" s="18">
        <v>9</v>
      </c>
      <c r="L390" s="18">
        <v>17</v>
      </c>
      <c r="M390" s="18">
        <v>2</v>
      </c>
      <c r="N390" s="25">
        <v>0</v>
      </c>
      <c r="O390" s="18">
        <v>4</v>
      </c>
      <c r="P390" t="str">
        <f t="shared" si="12"/>
        <v>Adults</v>
      </c>
      <c r="Q390" t="str">
        <f t="shared" si="13"/>
        <v>Low</v>
      </c>
      <c r="R390" t="str">
        <f>IF(OR(AND(Table1[[#This Row],[Diagnosis]]="Labour Complication",Table1[[#This Row],[Gender]]="M"), AND(Table1[[#This Row],[Diagnosis]]="Labour Complication",Table1[[#This Row],[Age]]&lt;15)),"Error","OK")</f>
        <v>OK</v>
      </c>
      <c r="S390" s="4">
        <f>Table1[[#This Row],[Bill_Amount]]+Table1[[#This Row],[Surgery_Cost]]</f>
        <v>69052</v>
      </c>
    </row>
    <row r="391" spans="1:19" x14ac:dyDescent="0.35">
      <c r="A391" s="19" t="s">
        <v>430</v>
      </c>
      <c r="B391" s="20" t="s">
        <v>930</v>
      </c>
      <c r="C391" s="21">
        <v>5</v>
      </c>
      <c r="D391" s="20" t="s">
        <v>1057</v>
      </c>
      <c r="E391" s="20" t="s">
        <v>1016</v>
      </c>
      <c r="F391" s="20" t="s">
        <v>1023</v>
      </c>
      <c r="G391" s="20" t="s">
        <v>1040</v>
      </c>
      <c r="H391" s="29">
        <v>45768</v>
      </c>
      <c r="I391" s="29">
        <v>45783</v>
      </c>
      <c r="J391" s="24">
        <v>201764</v>
      </c>
      <c r="K391" s="21">
        <v>9</v>
      </c>
      <c r="L391" s="21">
        <v>8</v>
      </c>
      <c r="M391" s="21">
        <v>1</v>
      </c>
      <c r="N391" s="24">
        <v>0</v>
      </c>
      <c r="O391" s="21">
        <v>15</v>
      </c>
      <c r="P391" t="str">
        <f t="shared" si="12"/>
        <v>Children</v>
      </c>
      <c r="Q391" t="str">
        <f t="shared" si="13"/>
        <v>High</v>
      </c>
      <c r="R391" t="str">
        <f>IF(OR(AND(Table1[[#This Row],[Diagnosis]]="Labour Complication",Table1[[#This Row],[Gender]]="M"), AND(Table1[[#This Row],[Diagnosis]]="Labour Complication",Table1[[#This Row],[Age]]&lt;15)),"Error","OK")</f>
        <v>OK</v>
      </c>
      <c r="S391" s="4">
        <f>Table1[[#This Row],[Bill_Amount]]+Table1[[#This Row],[Surgery_Cost]]</f>
        <v>201764</v>
      </c>
    </row>
    <row r="392" spans="1:19" x14ac:dyDescent="0.35">
      <c r="A392" s="16" t="s">
        <v>431</v>
      </c>
      <c r="B392" s="17" t="s">
        <v>931</v>
      </c>
      <c r="C392" s="18">
        <v>43</v>
      </c>
      <c r="D392" s="17" t="s">
        <v>1058</v>
      </c>
      <c r="E392" s="17" t="s">
        <v>1019</v>
      </c>
      <c r="F392" s="17" t="s">
        <v>1026</v>
      </c>
      <c r="G392" s="17" t="s">
        <v>1038</v>
      </c>
      <c r="H392" s="30">
        <v>45776</v>
      </c>
      <c r="I392" s="30">
        <v>45787</v>
      </c>
      <c r="J392" s="25">
        <v>106256</v>
      </c>
      <c r="K392" s="18">
        <v>8</v>
      </c>
      <c r="L392" s="18">
        <v>1</v>
      </c>
      <c r="M392" s="18">
        <v>4</v>
      </c>
      <c r="N392" s="25">
        <v>0</v>
      </c>
      <c r="O392" s="18">
        <v>11</v>
      </c>
      <c r="P392" t="str">
        <f t="shared" si="12"/>
        <v>Adults</v>
      </c>
      <c r="Q392" t="str">
        <f t="shared" si="13"/>
        <v>Medium</v>
      </c>
      <c r="R392" t="str">
        <f>IF(OR(AND(Table1[[#This Row],[Diagnosis]]="Labour Complication",Table1[[#This Row],[Gender]]="M"), AND(Table1[[#This Row],[Diagnosis]]="Labour Complication",Table1[[#This Row],[Age]]&lt;15)),"Error","OK")</f>
        <v>OK</v>
      </c>
      <c r="S392" s="4">
        <f>Table1[[#This Row],[Bill_Amount]]+Table1[[#This Row],[Surgery_Cost]]</f>
        <v>106256</v>
      </c>
    </row>
    <row r="393" spans="1:19" x14ac:dyDescent="0.35">
      <c r="A393" s="19" t="s">
        <v>432</v>
      </c>
      <c r="B393" s="20" t="s">
        <v>932</v>
      </c>
      <c r="C393" s="21">
        <v>64</v>
      </c>
      <c r="D393" s="20" t="s">
        <v>1057</v>
      </c>
      <c r="E393" s="20" t="s">
        <v>1016</v>
      </c>
      <c r="F393" s="20" t="s">
        <v>1023</v>
      </c>
      <c r="G393" s="20" t="s">
        <v>1040</v>
      </c>
      <c r="H393" s="29">
        <v>45764</v>
      </c>
      <c r="I393" s="29">
        <v>45774</v>
      </c>
      <c r="J393" s="24">
        <v>324893</v>
      </c>
      <c r="K393" s="21">
        <v>2</v>
      </c>
      <c r="L393" s="21">
        <v>6</v>
      </c>
      <c r="M393" s="21">
        <v>2</v>
      </c>
      <c r="N393" s="24">
        <v>0</v>
      </c>
      <c r="O393" s="21">
        <v>10</v>
      </c>
      <c r="P393" t="str">
        <f t="shared" si="12"/>
        <v>Older Adults</v>
      </c>
      <c r="Q393" t="str">
        <f t="shared" si="13"/>
        <v>High</v>
      </c>
      <c r="R393" t="str">
        <f>IF(OR(AND(Table1[[#This Row],[Diagnosis]]="Labour Complication",Table1[[#This Row],[Gender]]="M"), AND(Table1[[#This Row],[Diagnosis]]="Labour Complication",Table1[[#This Row],[Age]]&lt;15)),"Error","OK")</f>
        <v>OK</v>
      </c>
      <c r="S393" s="4">
        <f>Table1[[#This Row],[Bill_Amount]]+Table1[[#This Row],[Surgery_Cost]]</f>
        <v>324893</v>
      </c>
    </row>
    <row r="394" spans="1:19" x14ac:dyDescent="0.35">
      <c r="A394" s="16" t="s">
        <v>433</v>
      </c>
      <c r="B394" s="17" t="s">
        <v>933</v>
      </c>
      <c r="C394" s="18">
        <v>15</v>
      </c>
      <c r="D394" s="17" t="s">
        <v>1058</v>
      </c>
      <c r="E394" s="17" t="s">
        <v>1021</v>
      </c>
      <c r="F394" s="17" t="s">
        <v>1028</v>
      </c>
      <c r="G394" s="17" t="s">
        <v>1035</v>
      </c>
      <c r="H394" s="30">
        <v>45752</v>
      </c>
      <c r="I394" s="30">
        <v>45757</v>
      </c>
      <c r="J394" s="25">
        <v>474051</v>
      </c>
      <c r="K394" s="18">
        <v>3</v>
      </c>
      <c r="L394" s="18">
        <v>16</v>
      </c>
      <c r="M394" s="18">
        <v>4</v>
      </c>
      <c r="N394" s="25">
        <v>106699</v>
      </c>
      <c r="O394" s="18">
        <v>5</v>
      </c>
      <c r="P394" t="str">
        <f t="shared" si="12"/>
        <v>Teenagers</v>
      </c>
      <c r="Q394" t="str">
        <f t="shared" si="13"/>
        <v>High</v>
      </c>
      <c r="R394" t="str">
        <f>IF(OR(AND(Table1[[#This Row],[Diagnosis]]="Labour Complication",Table1[[#This Row],[Gender]]="M"), AND(Table1[[#This Row],[Diagnosis]]="Labour Complication",Table1[[#This Row],[Age]]&lt;15)),"Error","OK")</f>
        <v>OK</v>
      </c>
      <c r="S394" s="4">
        <f>Table1[[#This Row],[Bill_Amount]]+Table1[[#This Row],[Surgery_Cost]]</f>
        <v>580750</v>
      </c>
    </row>
    <row r="395" spans="1:19" x14ac:dyDescent="0.35">
      <c r="A395" s="19" t="s">
        <v>434</v>
      </c>
      <c r="B395" s="20" t="s">
        <v>934</v>
      </c>
      <c r="C395" s="21">
        <v>33</v>
      </c>
      <c r="D395" s="20" t="s">
        <v>1057</v>
      </c>
      <c r="E395" s="20" t="s">
        <v>1016</v>
      </c>
      <c r="F395" s="20" t="s">
        <v>1023</v>
      </c>
      <c r="G395" s="20" t="s">
        <v>1030</v>
      </c>
      <c r="H395" s="29">
        <v>45786</v>
      </c>
      <c r="I395" s="29">
        <v>45795</v>
      </c>
      <c r="J395" s="24">
        <v>389888</v>
      </c>
      <c r="K395" s="21">
        <v>7</v>
      </c>
      <c r="L395" s="21">
        <v>8</v>
      </c>
      <c r="M395" s="21">
        <v>2</v>
      </c>
      <c r="N395" s="24">
        <v>0</v>
      </c>
      <c r="O395" s="21">
        <v>9</v>
      </c>
      <c r="P395" t="str">
        <f t="shared" si="12"/>
        <v>Adults</v>
      </c>
      <c r="Q395" t="str">
        <f t="shared" si="13"/>
        <v>High</v>
      </c>
      <c r="R395" t="str">
        <f>IF(OR(AND(Table1[[#This Row],[Diagnosis]]="Labour Complication",Table1[[#This Row],[Gender]]="M"), AND(Table1[[#This Row],[Diagnosis]]="Labour Complication",Table1[[#This Row],[Age]]&lt;15)),"Error","OK")</f>
        <v>OK</v>
      </c>
      <c r="S395" s="4">
        <f>Table1[[#This Row],[Bill_Amount]]+Table1[[#This Row],[Surgery_Cost]]</f>
        <v>389888</v>
      </c>
    </row>
    <row r="396" spans="1:19" x14ac:dyDescent="0.35">
      <c r="A396" s="16" t="s">
        <v>435</v>
      </c>
      <c r="B396" s="17" t="s">
        <v>935</v>
      </c>
      <c r="C396" s="18">
        <v>38</v>
      </c>
      <c r="D396" s="17" t="s">
        <v>1057</v>
      </c>
      <c r="E396" s="17" t="s">
        <v>1016</v>
      </c>
      <c r="F396" s="17" t="s">
        <v>1023</v>
      </c>
      <c r="G396" s="17" t="s">
        <v>1030</v>
      </c>
      <c r="H396" s="30">
        <v>45757</v>
      </c>
      <c r="I396" s="30">
        <v>45764</v>
      </c>
      <c r="J396" s="25">
        <v>464589</v>
      </c>
      <c r="K396" s="18">
        <v>6</v>
      </c>
      <c r="L396" s="18">
        <v>4</v>
      </c>
      <c r="M396" s="18">
        <v>1</v>
      </c>
      <c r="N396" s="25">
        <v>0</v>
      </c>
      <c r="O396" s="18">
        <v>7</v>
      </c>
      <c r="P396" t="str">
        <f t="shared" si="12"/>
        <v>Adults</v>
      </c>
      <c r="Q396" t="str">
        <f t="shared" si="13"/>
        <v>High</v>
      </c>
      <c r="R396" t="str">
        <f>IF(OR(AND(Table1[[#This Row],[Diagnosis]]="Labour Complication",Table1[[#This Row],[Gender]]="M"), AND(Table1[[#This Row],[Diagnosis]]="Labour Complication",Table1[[#This Row],[Age]]&lt;15)),"Error","OK")</f>
        <v>OK</v>
      </c>
      <c r="S396" s="4">
        <f>Table1[[#This Row],[Bill_Amount]]+Table1[[#This Row],[Surgery_Cost]]</f>
        <v>464589</v>
      </c>
    </row>
    <row r="397" spans="1:19" x14ac:dyDescent="0.35">
      <c r="A397" s="19" t="s">
        <v>436</v>
      </c>
      <c r="B397" s="20" t="s">
        <v>936</v>
      </c>
      <c r="C397" s="21">
        <v>52</v>
      </c>
      <c r="D397" s="20" t="s">
        <v>1058</v>
      </c>
      <c r="E397" s="20" t="s">
        <v>1019</v>
      </c>
      <c r="F397" s="20" t="s">
        <v>1026</v>
      </c>
      <c r="G397" s="20" t="s">
        <v>1038</v>
      </c>
      <c r="H397" s="29">
        <v>45780</v>
      </c>
      <c r="I397" s="29">
        <v>45795</v>
      </c>
      <c r="J397" s="24">
        <v>384876</v>
      </c>
      <c r="K397" s="21">
        <v>8</v>
      </c>
      <c r="L397" s="21">
        <v>8</v>
      </c>
      <c r="M397" s="21">
        <v>2</v>
      </c>
      <c r="N397" s="24">
        <v>0</v>
      </c>
      <c r="O397" s="21">
        <v>15</v>
      </c>
      <c r="P397" t="str">
        <f t="shared" si="12"/>
        <v>Adults</v>
      </c>
      <c r="Q397" t="str">
        <f t="shared" si="13"/>
        <v>High</v>
      </c>
      <c r="R397" t="str">
        <f>IF(OR(AND(Table1[[#This Row],[Diagnosis]]="Labour Complication",Table1[[#This Row],[Gender]]="M"), AND(Table1[[#This Row],[Diagnosis]]="Labour Complication",Table1[[#This Row],[Age]]&lt;15)),"Error","OK")</f>
        <v>OK</v>
      </c>
      <c r="S397" s="4">
        <f>Table1[[#This Row],[Bill_Amount]]+Table1[[#This Row],[Surgery_Cost]]</f>
        <v>384876</v>
      </c>
    </row>
    <row r="398" spans="1:19" x14ac:dyDescent="0.35">
      <c r="A398" s="16" t="s">
        <v>437</v>
      </c>
      <c r="B398" s="17" t="s">
        <v>937</v>
      </c>
      <c r="C398" s="18">
        <v>13</v>
      </c>
      <c r="D398" s="17" t="s">
        <v>1057</v>
      </c>
      <c r="E398" s="17" t="s">
        <v>1018</v>
      </c>
      <c r="F398" s="17" t="s">
        <v>1025</v>
      </c>
      <c r="G398" s="17" t="s">
        <v>1044</v>
      </c>
      <c r="H398" s="30">
        <v>45749</v>
      </c>
      <c r="I398" s="30">
        <v>45757</v>
      </c>
      <c r="J398" s="25">
        <v>400882</v>
      </c>
      <c r="K398" s="18">
        <v>3</v>
      </c>
      <c r="L398" s="18">
        <v>11</v>
      </c>
      <c r="M398" s="18">
        <v>4</v>
      </c>
      <c r="N398" s="25">
        <v>0</v>
      </c>
      <c r="O398" s="18">
        <v>8</v>
      </c>
      <c r="P398" t="str">
        <f t="shared" si="12"/>
        <v>Teenagers</v>
      </c>
      <c r="Q398" t="str">
        <f t="shared" si="13"/>
        <v>High</v>
      </c>
      <c r="R398" t="str">
        <f>IF(OR(AND(Table1[[#This Row],[Diagnosis]]="Labour Complication",Table1[[#This Row],[Gender]]="M"), AND(Table1[[#This Row],[Diagnosis]]="Labour Complication",Table1[[#This Row],[Age]]&lt;15)),"Error","OK")</f>
        <v>OK</v>
      </c>
      <c r="S398" s="4">
        <f>Table1[[#This Row],[Bill_Amount]]+Table1[[#This Row],[Surgery_Cost]]</f>
        <v>400882</v>
      </c>
    </row>
    <row r="399" spans="1:19" x14ac:dyDescent="0.35">
      <c r="A399" s="19" t="s">
        <v>438</v>
      </c>
      <c r="B399" s="20" t="s">
        <v>938</v>
      </c>
      <c r="C399" s="21">
        <v>1</v>
      </c>
      <c r="D399" s="20" t="s">
        <v>1058</v>
      </c>
      <c r="E399" s="20" t="s">
        <v>1020</v>
      </c>
      <c r="F399" s="20" t="s">
        <v>1027</v>
      </c>
      <c r="G399" s="20" t="s">
        <v>1034</v>
      </c>
      <c r="H399" s="29">
        <v>45765</v>
      </c>
      <c r="I399" s="29">
        <v>45772</v>
      </c>
      <c r="J399" s="24">
        <v>180048</v>
      </c>
      <c r="K399" s="21">
        <v>5</v>
      </c>
      <c r="L399" s="21">
        <v>3</v>
      </c>
      <c r="M399" s="21">
        <v>2</v>
      </c>
      <c r="N399" s="24">
        <v>0</v>
      </c>
      <c r="O399" s="21">
        <v>7</v>
      </c>
      <c r="P399" t="str">
        <f t="shared" si="12"/>
        <v>Children</v>
      </c>
      <c r="Q399" t="str">
        <f t="shared" si="13"/>
        <v>High</v>
      </c>
      <c r="R399" t="str">
        <f>IF(OR(AND(Table1[[#This Row],[Diagnosis]]="Labour Complication",Table1[[#This Row],[Gender]]="M"), AND(Table1[[#This Row],[Diagnosis]]="Labour Complication",Table1[[#This Row],[Age]]&lt;15)),"Error","OK")</f>
        <v>OK</v>
      </c>
      <c r="S399" s="4">
        <f>Table1[[#This Row],[Bill_Amount]]+Table1[[#This Row],[Surgery_Cost]]</f>
        <v>180048</v>
      </c>
    </row>
    <row r="400" spans="1:19" x14ac:dyDescent="0.35">
      <c r="A400" s="16" t="s">
        <v>439</v>
      </c>
      <c r="B400" s="17" t="s">
        <v>939</v>
      </c>
      <c r="C400" s="18">
        <v>35</v>
      </c>
      <c r="D400" s="17" t="s">
        <v>1058</v>
      </c>
      <c r="E400" s="17" t="s">
        <v>1017</v>
      </c>
      <c r="F400" s="17" t="s">
        <v>1024</v>
      </c>
      <c r="G400" s="17" t="s">
        <v>1031</v>
      </c>
      <c r="H400" s="30">
        <v>45768</v>
      </c>
      <c r="I400" s="30">
        <v>45777</v>
      </c>
      <c r="J400" s="25">
        <v>445185</v>
      </c>
      <c r="K400" s="18">
        <v>3</v>
      </c>
      <c r="L400" s="18">
        <v>19</v>
      </c>
      <c r="M400" s="18">
        <v>3</v>
      </c>
      <c r="N400" s="25">
        <v>0</v>
      </c>
      <c r="O400" s="18">
        <v>9</v>
      </c>
      <c r="P400" t="str">
        <f t="shared" si="12"/>
        <v>Adults</v>
      </c>
      <c r="Q400" t="str">
        <f t="shared" si="13"/>
        <v>High</v>
      </c>
      <c r="R400" t="str">
        <f>IF(OR(AND(Table1[[#This Row],[Diagnosis]]="Labour Complication",Table1[[#This Row],[Gender]]="M"), AND(Table1[[#This Row],[Diagnosis]]="Labour Complication",Table1[[#This Row],[Age]]&lt;15)),"Error","OK")</f>
        <v>OK</v>
      </c>
      <c r="S400" s="4">
        <f>Table1[[#This Row],[Bill_Amount]]+Table1[[#This Row],[Surgery_Cost]]</f>
        <v>445185</v>
      </c>
    </row>
    <row r="401" spans="1:19" x14ac:dyDescent="0.35">
      <c r="A401" s="19" t="s">
        <v>440</v>
      </c>
      <c r="B401" s="20" t="s">
        <v>940</v>
      </c>
      <c r="C401" s="21">
        <v>2</v>
      </c>
      <c r="D401" s="20" t="s">
        <v>1058</v>
      </c>
      <c r="E401" s="20" t="s">
        <v>1019</v>
      </c>
      <c r="F401" s="20" t="s">
        <v>1026</v>
      </c>
      <c r="G401" s="20" t="s">
        <v>1038</v>
      </c>
      <c r="H401" s="29">
        <v>45757</v>
      </c>
      <c r="I401" s="29">
        <v>45770</v>
      </c>
      <c r="J401" s="24">
        <v>350352</v>
      </c>
      <c r="K401" s="21">
        <v>6</v>
      </c>
      <c r="L401" s="21">
        <v>2</v>
      </c>
      <c r="M401" s="21">
        <v>4</v>
      </c>
      <c r="N401" s="24">
        <v>0</v>
      </c>
      <c r="O401" s="21">
        <v>13</v>
      </c>
      <c r="P401" t="str">
        <f t="shared" si="12"/>
        <v>Children</v>
      </c>
      <c r="Q401" t="str">
        <f t="shared" si="13"/>
        <v>High</v>
      </c>
      <c r="R401" t="str">
        <f>IF(OR(AND(Table1[[#This Row],[Diagnosis]]="Labour Complication",Table1[[#This Row],[Gender]]="M"), AND(Table1[[#This Row],[Diagnosis]]="Labour Complication",Table1[[#This Row],[Age]]&lt;15)),"Error","OK")</f>
        <v>OK</v>
      </c>
      <c r="S401" s="4">
        <f>Table1[[#This Row],[Bill_Amount]]+Table1[[#This Row],[Surgery_Cost]]</f>
        <v>350352</v>
      </c>
    </row>
    <row r="402" spans="1:19" x14ac:dyDescent="0.35">
      <c r="A402" s="16" t="s">
        <v>441</v>
      </c>
      <c r="B402" s="17" t="s">
        <v>941</v>
      </c>
      <c r="C402" s="18">
        <v>86</v>
      </c>
      <c r="D402" s="17" t="s">
        <v>1057</v>
      </c>
      <c r="E402" s="17" t="s">
        <v>1016</v>
      </c>
      <c r="F402" s="17" t="s">
        <v>1023</v>
      </c>
      <c r="G402" s="17" t="s">
        <v>1040</v>
      </c>
      <c r="H402" s="30">
        <v>45802</v>
      </c>
      <c r="I402" s="30">
        <v>45807</v>
      </c>
      <c r="J402" s="25">
        <v>82571</v>
      </c>
      <c r="K402" s="18">
        <v>5</v>
      </c>
      <c r="L402" s="18">
        <v>2</v>
      </c>
      <c r="M402" s="18">
        <v>4</v>
      </c>
      <c r="N402" s="25">
        <v>0</v>
      </c>
      <c r="O402" s="18">
        <v>5</v>
      </c>
      <c r="P402" t="str">
        <f t="shared" si="12"/>
        <v>Older Adults</v>
      </c>
      <c r="Q402" t="str">
        <f t="shared" si="13"/>
        <v>Low</v>
      </c>
      <c r="R402" t="str">
        <f>IF(OR(AND(Table1[[#This Row],[Diagnosis]]="Labour Complication",Table1[[#This Row],[Gender]]="M"), AND(Table1[[#This Row],[Diagnosis]]="Labour Complication",Table1[[#This Row],[Age]]&lt;15)),"Error","OK")</f>
        <v>OK</v>
      </c>
      <c r="S402" s="4">
        <f>Table1[[#This Row],[Bill_Amount]]+Table1[[#This Row],[Surgery_Cost]]</f>
        <v>82571</v>
      </c>
    </row>
    <row r="403" spans="1:19" x14ac:dyDescent="0.35">
      <c r="A403" s="19" t="s">
        <v>442</v>
      </c>
      <c r="B403" s="20" t="s">
        <v>942</v>
      </c>
      <c r="C403" s="21">
        <v>88</v>
      </c>
      <c r="D403" s="20" t="s">
        <v>1058</v>
      </c>
      <c r="E403" s="20" t="s">
        <v>1021</v>
      </c>
      <c r="F403" s="20" t="s">
        <v>1028</v>
      </c>
      <c r="G403" s="20" t="s">
        <v>1035</v>
      </c>
      <c r="H403" s="29">
        <v>45756</v>
      </c>
      <c r="I403" s="29">
        <v>45760</v>
      </c>
      <c r="J403" s="24">
        <v>262555</v>
      </c>
      <c r="K403" s="21">
        <v>1</v>
      </c>
      <c r="L403" s="21">
        <v>8</v>
      </c>
      <c r="M403" s="21">
        <v>4</v>
      </c>
      <c r="N403" s="24">
        <v>253923</v>
      </c>
      <c r="O403" s="21">
        <v>4</v>
      </c>
      <c r="P403" t="str">
        <f t="shared" si="12"/>
        <v>Older Adults</v>
      </c>
      <c r="Q403" t="str">
        <f t="shared" si="13"/>
        <v>High</v>
      </c>
      <c r="R403" t="str">
        <f>IF(OR(AND(Table1[[#This Row],[Diagnosis]]="Labour Complication",Table1[[#This Row],[Gender]]="M"), AND(Table1[[#This Row],[Diagnosis]]="Labour Complication",Table1[[#This Row],[Age]]&lt;15)),"Error","OK")</f>
        <v>OK</v>
      </c>
      <c r="S403" s="4">
        <f>Table1[[#This Row],[Bill_Amount]]+Table1[[#This Row],[Surgery_Cost]]</f>
        <v>516478</v>
      </c>
    </row>
    <row r="404" spans="1:19" x14ac:dyDescent="0.35">
      <c r="A404" s="16" t="s">
        <v>443</v>
      </c>
      <c r="B404" s="17" t="s">
        <v>943</v>
      </c>
      <c r="C404" s="18">
        <v>79</v>
      </c>
      <c r="D404" s="17" t="s">
        <v>1057</v>
      </c>
      <c r="E404" s="17" t="s">
        <v>1016</v>
      </c>
      <c r="F404" s="17" t="s">
        <v>1023</v>
      </c>
      <c r="G404" s="17" t="s">
        <v>1030</v>
      </c>
      <c r="H404" s="30">
        <v>45797</v>
      </c>
      <c r="I404" s="30">
        <v>45803</v>
      </c>
      <c r="J404" s="25">
        <v>242698</v>
      </c>
      <c r="K404" s="18">
        <v>8</v>
      </c>
      <c r="L404" s="18">
        <v>8</v>
      </c>
      <c r="M404" s="18">
        <v>4</v>
      </c>
      <c r="N404" s="25">
        <v>0</v>
      </c>
      <c r="O404" s="18">
        <v>6</v>
      </c>
      <c r="P404" t="str">
        <f t="shared" si="12"/>
        <v>Older Adults</v>
      </c>
      <c r="Q404" t="str">
        <f t="shared" si="13"/>
        <v>High</v>
      </c>
      <c r="R404" t="str">
        <f>IF(OR(AND(Table1[[#This Row],[Diagnosis]]="Labour Complication",Table1[[#This Row],[Gender]]="M"), AND(Table1[[#This Row],[Diagnosis]]="Labour Complication",Table1[[#This Row],[Age]]&lt;15)),"Error","OK")</f>
        <v>OK</v>
      </c>
      <c r="S404" s="4">
        <f>Table1[[#This Row],[Bill_Amount]]+Table1[[#This Row],[Surgery_Cost]]</f>
        <v>242698</v>
      </c>
    </row>
    <row r="405" spans="1:19" x14ac:dyDescent="0.35">
      <c r="A405" s="19" t="s">
        <v>444</v>
      </c>
      <c r="B405" s="20" t="s">
        <v>944</v>
      </c>
      <c r="C405" s="21">
        <v>59</v>
      </c>
      <c r="D405" s="20" t="s">
        <v>1058</v>
      </c>
      <c r="E405" s="20" t="s">
        <v>1017</v>
      </c>
      <c r="F405" s="20" t="s">
        <v>1024</v>
      </c>
      <c r="G405" s="20" t="s">
        <v>1031</v>
      </c>
      <c r="H405" s="29">
        <v>45779</v>
      </c>
      <c r="I405" s="29">
        <v>45788</v>
      </c>
      <c r="J405" s="24">
        <v>130313</v>
      </c>
      <c r="K405" s="21">
        <v>8</v>
      </c>
      <c r="L405" s="21">
        <v>6</v>
      </c>
      <c r="M405" s="21">
        <v>4</v>
      </c>
      <c r="N405" s="24">
        <v>0</v>
      </c>
      <c r="O405" s="21">
        <v>9</v>
      </c>
      <c r="P405" t="str">
        <f t="shared" si="12"/>
        <v>Adults</v>
      </c>
      <c r="Q405" t="str">
        <f t="shared" si="13"/>
        <v>Medium</v>
      </c>
      <c r="R405" t="str">
        <f>IF(OR(AND(Table1[[#This Row],[Diagnosis]]="Labour Complication",Table1[[#This Row],[Gender]]="M"), AND(Table1[[#This Row],[Diagnosis]]="Labour Complication",Table1[[#This Row],[Age]]&lt;15)),"Error","OK")</f>
        <v>OK</v>
      </c>
      <c r="S405" s="4">
        <f>Table1[[#This Row],[Bill_Amount]]+Table1[[#This Row],[Surgery_Cost]]</f>
        <v>130313</v>
      </c>
    </row>
    <row r="406" spans="1:19" x14ac:dyDescent="0.35">
      <c r="A406" s="16" t="s">
        <v>445</v>
      </c>
      <c r="B406" s="17" t="s">
        <v>945</v>
      </c>
      <c r="C406" s="18">
        <v>69</v>
      </c>
      <c r="D406" s="17" t="s">
        <v>1057</v>
      </c>
      <c r="E406" s="17" t="s">
        <v>1016</v>
      </c>
      <c r="F406" s="17" t="s">
        <v>1023</v>
      </c>
      <c r="G406" s="17" t="s">
        <v>1030</v>
      </c>
      <c r="H406" s="30">
        <v>45768</v>
      </c>
      <c r="I406" s="30">
        <v>45778</v>
      </c>
      <c r="J406" s="25">
        <v>296849</v>
      </c>
      <c r="K406" s="18">
        <v>1</v>
      </c>
      <c r="L406" s="18">
        <v>8</v>
      </c>
      <c r="M406" s="18">
        <v>4</v>
      </c>
      <c r="N406" s="25">
        <v>0</v>
      </c>
      <c r="O406" s="18">
        <v>10</v>
      </c>
      <c r="P406" t="str">
        <f t="shared" si="12"/>
        <v>Older Adults</v>
      </c>
      <c r="Q406" t="str">
        <f t="shared" si="13"/>
        <v>High</v>
      </c>
      <c r="R406" t="str">
        <f>IF(OR(AND(Table1[[#This Row],[Diagnosis]]="Labour Complication",Table1[[#This Row],[Gender]]="M"), AND(Table1[[#This Row],[Diagnosis]]="Labour Complication",Table1[[#This Row],[Age]]&lt;15)),"Error","OK")</f>
        <v>OK</v>
      </c>
      <c r="S406" s="4">
        <f>Table1[[#This Row],[Bill_Amount]]+Table1[[#This Row],[Surgery_Cost]]</f>
        <v>296849</v>
      </c>
    </row>
    <row r="407" spans="1:19" x14ac:dyDescent="0.35">
      <c r="A407" s="19" t="s">
        <v>446</v>
      </c>
      <c r="B407" s="20" t="s">
        <v>946</v>
      </c>
      <c r="C407" s="21">
        <v>11</v>
      </c>
      <c r="D407" s="20" t="s">
        <v>1058</v>
      </c>
      <c r="E407" s="20" t="s">
        <v>1016</v>
      </c>
      <c r="F407" s="20" t="s">
        <v>1023</v>
      </c>
      <c r="G407" s="20" t="s">
        <v>1040</v>
      </c>
      <c r="H407" s="29">
        <v>45794</v>
      </c>
      <c r="I407" s="29">
        <v>45808</v>
      </c>
      <c r="J407" s="24">
        <v>362378</v>
      </c>
      <c r="K407" s="21">
        <v>9</v>
      </c>
      <c r="L407" s="21">
        <v>13</v>
      </c>
      <c r="M407" s="21">
        <v>2</v>
      </c>
      <c r="N407" s="24">
        <v>0</v>
      </c>
      <c r="O407" s="21">
        <v>14</v>
      </c>
      <c r="P407" t="str">
        <f t="shared" si="12"/>
        <v>Children</v>
      </c>
      <c r="Q407" t="str">
        <f t="shared" si="13"/>
        <v>High</v>
      </c>
      <c r="R407" t="str">
        <f>IF(OR(AND(Table1[[#This Row],[Diagnosis]]="Labour Complication",Table1[[#This Row],[Gender]]="M"), AND(Table1[[#This Row],[Diagnosis]]="Labour Complication",Table1[[#This Row],[Age]]&lt;15)),"Error","OK")</f>
        <v>OK</v>
      </c>
      <c r="S407" s="4">
        <f>Table1[[#This Row],[Bill_Amount]]+Table1[[#This Row],[Surgery_Cost]]</f>
        <v>362378</v>
      </c>
    </row>
    <row r="408" spans="1:19" x14ac:dyDescent="0.35">
      <c r="A408" s="16" t="s">
        <v>447</v>
      </c>
      <c r="B408" s="17" t="s">
        <v>947</v>
      </c>
      <c r="C408" s="18">
        <v>8</v>
      </c>
      <c r="D408" s="17" t="s">
        <v>1057</v>
      </c>
      <c r="E408" s="17" t="s">
        <v>1018</v>
      </c>
      <c r="F408" s="17" t="s">
        <v>1025</v>
      </c>
      <c r="G408" s="17" t="s">
        <v>1032</v>
      </c>
      <c r="H408" s="30">
        <v>45748</v>
      </c>
      <c r="I408" s="30">
        <v>45759</v>
      </c>
      <c r="J408" s="25">
        <v>108829</v>
      </c>
      <c r="K408" s="18">
        <v>4</v>
      </c>
      <c r="L408" s="18">
        <v>12</v>
      </c>
      <c r="M408" s="18">
        <v>2</v>
      </c>
      <c r="N408" s="25">
        <v>0</v>
      </c>
      <c r="O408" s="18">
        <v>11</v>
      </c>
      <c r="P408" t="str">
        <f t="shared" si="12"/>
        <v>Children</v>
      </c>
      <c r="Q408" t="str">
        <f t="shared" si="13"/>
        <v>Medium</v>
      </c>
      <c r="R408" t="str">
        <f>IF(OR(AND(Table1[[#This Row],[Diagnosis]]="Labour Complication",Table1[[#This Row],[Gender]]="M"), AND(Table1[[#This Row],[Diagnosis]]="Labour Complication",Table1[[#This Row],[Age]]&lt;15)),"Error","OK")</f>
        <v>OK</v>
      </c>
      <c r="S408" s="4">
        <f>Table1[[#This Row],[Bill_Amount]]+Table1[[#This Row],[Surgery_Cost]]</f>
        <v>108829</v>
      </c>
    </row>
    <row r="409" spans="1:19" x14ac:dyDescent="0.35">
      <c r="A409" s="19" t="s">
        <v>448</v>
      </c>
      <c r="B409" s="20" t="s">
        <v>948</v>
      </c>
      <c r="C409" s="21">
        <v>42</v>
      </c>
      <c r="D409" s="20" t="s">
        <v>1058</v>
      </c>
      <c r="E409" s="20" t="s">
        <v>1019</v>
      </c>
      <c r="F409" s="20" t="s">
        <v>1026</v>
      </c>
      <c r="G409" s="20" t="s">
        <v>1033</v>
      </c>
      <c r="H409" s="29">
        <v>45776</v>
      </c>
      <c r="I409" s="29">
        <v>45780</v>
      </c>
      <c r="J409" s="24">
        <v>136264</v>
      </c>
      <c r="K409" s="21">
        <v>5</v>
      </c>
      <c r="L409" s="21">
        <v>11</v>
      </c>
      <c r="M409" s="21">
        <v>2</v>
      </c>
      <c r="N409" s="24">
        <v>0</v>
      </c>
      <c r="O409" s="21">
        <v>4</v>
      </c>
      <c r="P409" t="str">
        <f t="shared" si="12"/>
        <v>Adults</v>
      </c>
      <c r="Q409" t="str">
        <f t="shared" si="13"/>
        <v>Medium</v>
      </c>
      <c r="R409" t="str">
        <f>IF(OR(AND(Table1[[#This Row],[Diagnosis]]="Labour Complication",Table1[[#This Row],[Gender]]="M"), AND(Table1[[#This Row],[Diagnosis]]="Labour Complication",Table1[[#This Row],[Age]]&lt;15)),"Error","OK")</f>
        <v>OK</v>
      </c>
      <c r="S409" s="4">
        <f>Table1[[#This Row],[Bill_Amount]]+Table1[[#This Row],[Surgery_Cost]]</f>
        <v>136264</v>
      </c>
    </row>
    <row r="410" spans="1:19" x14ac:dyDescent="0.35">
      <c r="A410" s="16" t="s">
        <v>449</v>
      </c>
      <c r="B410" s="17" t="s">
        <v>949</v>
      </c>
      <c r="C410" s="18">
        <v>75</v>
      </c>
      <c r="D410" s="17" t="s">
        <v>1058</v>
      </c>
      <c r="E410" s="17" t="s">
        <v>1016</v>
      </c>
      <c r="F410" s="17" t="s">
        <v>1023</v>
      </c>
      <c r="G410" s="17" t="s">
        <v>1030</v>
      </c>
      <c r="H410" s="30">
        <v>45798</v>
      </c>
      <c r="I410" s="30">
        <v>45803</v>
      </c>
      <c r="J410" s="25">
        <v>425871</v>
      </c>
      <c r="K410" s="18">
        <v>7</v>
      </c>
      <c r="L410" s="18">
        <v>13</v>
      </c>
      <c r="M410" s="18">
        <v>4</v>
      </c>
      <c r="N410" s="25">
        <v>0</v>
      </c>
      <c r="O410" s="18">
        <v>5</v>
      </c>
      <c r="P410" t="str">
        <f t="shared" si="12"/>
        <v>Older Adults</v>
      </c>
      <c r="Q410" t="str">
        <f t="shared" si="13"/>
        <v>High</v>
      </c>
      <c r="R410" t="str">
        <f>IF(OR(AND(Table1[[#This Row],[Diagnosis]]="Labour Complication",Table1[[#This Row],[Gender]]="M"), AND(Table1[[#This Row],[Diagnosis]]="Labour Complication",Table1[[#This Row],[Age]]&lt;15)),"Error","OK")</f>
        <v>OK</v>
      </c>
      <c r="S410" s="4">
        <f>Table1[[#This Row],[Bill_Amount]]+Table1[[#This Row],[Surgery_Cost]]</f>
        <v>425871</v>
      </c>
    </row>
    <row r="411" spans="1:19" x14ac:dyDescent="0.35">
      <c r="A411" s="19" t="s">
        <v>450</v>
      </c>
      <c r="B411" s="20" t="s">
        <v>950</v>
      </c>
      <c r="C411" s="21">
        <v>8</v>
      </c>
      <c r="D411" s="20" t="s">
        <v>1058</v>
      </c>
      <c r="E411" s="20" t="s">
        <v>1019</v>
      </c>
      <c r="F411" s="20" t="s">
        <v>1026</v>
      </c>
      <c r="G411" s="20" t="s">
        <v>1033</v>
      </c>
      <c r="H411" s="29">
        <v>45793</v>
      </c>
      <c r="I411" s="29">
        <v>45802</v>
      </c>
      <c r="J411" s="24">
        <v>473987</v>
      </c>
      <c r="K411" s="21">
        <v>6</v>
      </c>
      <c r="L411" s="21">
        <v>8</v>
      </c>
      <c r="M411" s="21">
        <v>1</v>
      </c>
      <c r="N411" s="24">
        <v>0</v>
      </c>
      <c r="O411" s="21">
        <v>9</v>
      </c>
      <c r="P411" t="str">
        <f t="shared" si="12"/>
        <v>Children</v>
      </c>
      <c r="Q411" t="str">
        <f t="shared" si="13"/>
        <v>High</v>
      </c>
      <c r="R411" t="str">
        <f>IF(OR(AND(Table1[[#This Row],[Diagnosis]]="Labour Complication",Table1[[#This Row],[Gender]]="M"), AND(Table1[[#This Row],[Diagnosis]]="Labour Complication",Table1[[#This Row],[Age]]&lt;15)),"Error","OK")</f>
        <v>OK</v>
      </c>
      <c r="S411" s="4">
        <f>Table1[[#This Row],[Bill_Amount]]+Table1[[#This Row],[Surgery_Cost]]</f>
        <v>473987</v>
      </c>
    </row>
    <row r="412" spans="1:19" x14ac:dyDescent="0.35">
      <c r="A412" s="16" t="s">
        <v>451</v>
      </c>
      <c r="B412" s="17" t="s">
        <v>951</v>
      </c>
      <c r="C412" s="18">
        <v>73</v>
      </c>
      <c r="D412" s="17" t="s">
        <v>1057</v>
      </c>
      <c r="E412" s="17" t="s">
        <v>1019</v>
      </c>
      <c r="F412" s="17" t="s">
        <v>1026</v>
      </c>
      <c r="G412" s="17" t="s">
        <v>1038</v>
      </c>
      <c r="H412" s="30">
        <v>45772</v>
      </c>
      <c r="I412" s="30">
        <v>45780</v>
      </c>
      <c r="J412" s="25">
        <v>289493</v>
      </c>
      <c r="K412" s="18">
        <v>3</v>
      </c>
      <c r="L412" s="18">
        <v>7</v>
      </c>
      <c r="M412" s="18">
        <v>3</v>
      </c>
      <c r="N412" s="25">
        <v>0</v>
      </c>
      <c r="O412" s="18">
        <v>8</v>
      </c>
      <c r="P412" t="str">
        <f t="shared" si="12"/>
        <v>Older Adults</v>
      </c>
      <c r="Q412" t="str">
        <f t="shared" si="13"/>
        <v>High</v>
      </c>
      <c r="R412" t="str">
        <f>IF(OR(AND(Table1[[#This Row],[Diagnosis]]="Labour Complication",Table1[[#This Row],[Gender]]="M"), AND(Table1[[#This Row],[Diagnosis]]="Labour Complication",Table1[[#This Row],[Age]]&lt;15)),"Error","OK")</f>
        <v>OK</v>
      </c>
      <c r="S412" s="4">
        <f>Table1[[#This Row],[Bill_Amount]]+Table1[[#This Row],[Surgery_Cost]]</f>
        <v>289493</v>
      </c>
    </row>
    <row r="413" spans="1:19" x14ac:dyDescent="0.35">
      <c r="A413" s="19" t="s">
        <v>452</v>
      </c>
      <c r="B413" s="20" t="s">
        <v>952</v>
      </c>
      <c r="C413" s="21">
        <v>3</v>
      </c>
      <c r="D413" s="20" t="s">
        <v>1058</v>
      </c>
      <c r="E413" s="20" t="s">
        <v>1016</v>
      </c>
      <c r="F413" s="20" t="s">
        <v>1023</v>
      </c>
      <c r="G413" s="20" t="s">
        <v>1040</v>
      </c>
      <c r="H413" s="29">
        <v>45751</v>
      </c>
      <c r="I413" s="29">
        <v>45765</v>
      </c>
      <c r="J413" s="24">
        <v>211569</v>
      </c>
      <c r="K413" s="21">
        <v>2</v>
      </c>
      <c r="L413" s="21">
        <v>5</v>
      </c>
      <c r="M413" s="21">
        <v>1</v>
      </c>
      <c r="N413" s="24">
        <v>0</v>
      </c>
      <c r="O413" s="21">
        <v>14</v>
      </c>
      <c r="P413" t="str">
        <f t="shared" si="12"/>
        <v>Children</v>
      </c>
      <c r="Q413" t="str">
        <f t="shared" si="13"/>
        <v>High</v>
      </c>
      <c r="R413" t="str">
        <f>IF(OR(AND(Table1[[#This Row],[Diagnosis]]="Labour Complication",Table1[[#This Row],[Gender]]="M"), AND(Table1[[#This Row],[Diagnosis]]="Labour Complication",Table1[[#This Row],[Age]]&lt;15)),"Error","OK")</f>
        <v>OK</v>
      </c>
      <c r="S413" s="4">
        <f>Table1[[#This Row],[Bill_Amount]]+Table1[[#This Row],[Surgery_Cost]]</f>
        <v>211569</v>
      </c>
    </row>
    <row r="414" spans="1:19" x14ac:dyDescent="0.35">
      <c r="A414" s="16" t="s">
        <v>453</v>
      </c>
      <c r="B414" s="17" t="s">
        <v>953</v>
      </c>
      <c r="C414" s="18">
        <v>28</v>
      </c>
      <c r="D414" s="17" t="s">
        <v>1057</v>
      </c>
      <c r="E414" s="17" t="s">
        <v>1022</v>
      </c>
      <c r="F414" s="17" t="s">
        <v>1029</v>
      </c>
      <c r="G414" s="17" t="s">
        <v>1039</v>
      </c>
      <c r="H414" s="30">
        <v>45768</v>
      </c>
      <c r="I414" s="30">
        <v>45770</v>
      </c>
      <c r="J414" s="25">
        <v>441016</v>
      </c>
      <c r="K414" s="18">
        <v>3</v>
      </c>
      <c r="L414" s="18">
        <v>6</v>
      </c>
      <c r="M414" s="18">
        <v>4</v>
      </c>
      <c r="N414" s="25">
        <v>0</v>
      </c>
      <c r="O414" s="18">
        <v>2</v>
      </c>
      <c r="P414" t="str">
        <f t="shared" si="12"/>
        <v>Adults</v>
      </c>
      <c r="Q414" t="str">
        <f t="shared" si="13"/>
        <v>High</v>
      </c>
      <c r="R414" t="str">
        <f>IF(OR(AND(Table1[[#This Row],[Diagnosis]]="Labour Complication",Table1[[#This Row],[Gender]]="M"), AND(Table1[[#This Row],[Diagnosis]]="Labour Complication",Table1[[#This Row],[Age]]&lt;15)),"Error","OK")</f>
        <v>OK</v>
      </c>
      <c r="S414" s="4">
        <f>Table1[[#This Row],[Bill_Amount]]+Table1[[#This Row],[Surgery_Cost]]</f>
        <v>441016</v>
      </c>
    </row>
    <row r="415" spans="1:19" x14ac:dyDescent="0.35">
      <c r="A415" s="19" t="s">
        <v>454</v>
      </c>
      <c r="B415" s="20" t="s">
        <v>954</v>
      </c>
      <c r="C415" s="21">
        <v>9</v>
      </c>
      <c r="D415" s="20" t="s">
        <v>1057</v>
      </c>
      <c r="E415" s="20" t="s">
        <v>1020</v>
      </c>
      <c r="F415" s="20" t="s">
        <v>1027</v>
      </c>
      <c r="G415" s="20" t="s">
        <v>1043</v>
      </c>
      <c r="H415" s="29">
        <v>45757</v>
      </c>
      <c r="I415" s="29">
        <v>45764</v>
      </c>
      <c r="J415" s="24">
        <v>417203</v>
      </c>
      <c r="K415" s="21">
        <v>6</v>
      </c>
      <c r="L415" s="21">
        <v>11</v>
      </c>
      <c r="M415" s="21">
        <v>3</v>
      </c>
      <c r="N415" s="24">
        <v>0</v>
      </c>
      <c r="O415" s="21">
        <v>7</v>
      </c>
      <c r="P415" t="str">
        <f t="shared" si="12"/>
        <v>Children</v>
      </c>
      <c r="Q415" t="str">
        <f t="shared" si="13"/>
        <v>High</v>
      </c>
      <c r="R415" t="str">
        <f>IF(OR(AND(Table1[[#This Row],[Diagnosis]]="Labour Complication",Table1[[#This Row],[Gender]]="M"), AND(Table1[[#This Row],[Diagnosis]]="Labour Complication",Table1[[#This Row],[Age]]&lt;15)),"Error","OK")</f>
        <v>OK</v>
      </c>
      <c r="S415" s="4">
        <f>Table1[[#This Row],[Bill_Amount]]+Table1[[#This Row],[Surgery_Cost]]</f>
        <v>417203</v>
      </c>
    </row>
    <row r="416" spans="1:19" x14ac:dyDescent="0.35">
      <c r="A416" s="16" t="s">
        <v>455</v>
      </c>
      <c r="B416" s="17" t="s">
        <v>955</v>
      </c>
      <c r="C416" s="18">
        <v>53</v>
      </c>
      <c r="D416" s="17" t="s">
        <v>1057</v>
      </c>
      <c r="E416" s="17" t="s">
        <v>1020</v>
      </c>
      <c r="F416" s="17" t="s">
        <v>1027</v>
      </c>
      <c r="G416" s="17" t="s">
        <v>1043</v>
      </c>
      <c r="H416" s="30">
        <v>45750</v>
      </c>
      <c r="I416" s="30">
        <v>45752</v>
      </c>
      <c r="J416" s="25">
        <v>200518</v>
      </c>
      <c r="K416" s="18">
        <v>6</v>
      </c>
      <c r="L416" s="18">
        <v>1</v>
      </c>
      <c r="M416" s="18">
        <v>3</v>
      </c>
      <c r="N416" s="25">
        <v>0</v>
      </c>
      <c r="O416" s="18">
        <v>2</v>
      </c>
      <c r="P416" t="str">
        <f t="shared" si="12"/>
        <v>Adults</v>
      </c>
      <c r="Q416" t="str">
        <f t="shared" si="13"/>
        <v>High</v>
      </c>
      <c r="R416" t="str">
        <f>IF(OR(AND(Table1[[#This Row],[Diagnosis]]="Labour Complication",Table1[[#This Row],[Gender]]="M"), AND(Table1[[#This Row],[Diagnosis]]="Labour Complication",Table1[[#This Row],[Age]]&lt;15)),"Error","OK")</f>
        <v>OK</v>
      </c>
      <c r="S416" s="4">
        <f>Table1[[#This Row],[Bill_Amount]]+Table1[[#This Row],[Surgery_Cost]]</f>
        <v>200518</v>
      </c>
    </row>
    <row r="417" spans="1:19" x14ac:dyDescent="0.35">
      <c r="A417" s="19" t="s">
        <v>456</v>
      </c>
      <c r="B417" s="20" t="s">
        <v>956</v>
      </c>
      <c r="C417" s="21">
        <v>83</v>
      </c>
      <c r="D417" s="20" t="s">
        <v>1058</v>
      </c>
      <c r="E417" s="20" t="s">
        <v>1022</v>
      </c>
      <c r="F417" s="20" t="s">
        <v>1029</v>
      </c>
      <c r="G417" s="20" t="s">
        <v>1041</v>
      </c>
      <c r="H417" s="29">
        <v>45788</v>
      </c>
      <c r="I417" s="29">
        <v>45800</v>
      </c>
      <c r="J417" s="24">
        <v>432357</v>
      </c>
      <c r="K417" s="21">
        <v>7</v>
      </c>
      <c r="L417" s="21">
        <v>3</v>
      </c>
      <c r="M417" s="21">
        <v>1</v>
      </c>
      <c r="N417" s="24">
        <v>0</v>
      </c>
      <c r="O417" s="21">
        <v>12</v>
      </c>
      <c r="P417" t="str">
        <f t="shared" si="12"/>
        <v>Older Adults</v>
      </c>
      <c r="Q417" t="str">
        <f t="shared" si="13"/>
        <v>High</v>
      </c>
      <c r="R417" t="str">
        <f>IF(OR(AND(Table1[[#This Row],[Diagnosis]]="Labour Complication",Table1[[#This Row],[Gender]]="M"), AND(Table1[[#This Row],[Diagnosis]]="Labour Complication",Table1[[#This Row],[Age]]&lt;15)),"Error","OK")</f>
        <v>OK</v>
      </c>
      <c r="S417" s="4">
        <f>Table1[[#This Row],[Bill_Amount]]+Table1[[#This Row],[Surgery_Cost]]</f>
        <v>432357</v>
      </c>
    </row>
    <row r="418" spans="1:19" x14ac:dyDescent="0.35">
      <c r="A418" s="16" t="s">
        <v>457</v>
      </c>
      <c r="B418" s="17" t="s">
        <v>957</v>
      </c>
      <c r="C418" s="18">
        <v>49</v>
      </c>
      <c r="D418" s="17" t="s">
        <v>1057</v>
      </c>
      <c r="E418" s="17" t="s">
        <v>1020</v>
      </c>
      <c r="F418" s="17" t="s">
        <v>1027</v>
      </c>
      <c r="G418" s="17" t="s">
        <v>1043</v>
      </c>
      <c r="H418" s="30">
        <v>45797</v>
      </c>
      <c r="I418" s="30">
        <v>45806</v>
      </c>
      <c r="J418" s="25">
        <v>247916</v>
      </c>
      <c r="K418" s="18">
        <v>5</v>
      </c>
      <c r="L418" s="18">
        <v>2</v>
      </c>
      <c r="M418" s="18">
        <v>2</v>
      </c>
      <c r="N418" s="25">
        <v>0</v>
      </c>
      <c r="O418" s="18">
        <v>9</v>
      </c>
      <c r="P418" t="str">
        <f t="shared" si="12"/>
        <v>Adults</v>
      </c>
      <c r="Q418" t="str">
        <f t="shared" si="13"/>
        <v>High</v>
      </c>
      <c r="R418" t="str">
        <f>IF(OR(AND(Table1[[#This Row],[Diagnosis]]="Labour Complication",Table1[[#This Row],[Gender]]="M"), AND(Table1[[#This Row],[Diagnosis]]="Labour Complication",Table1[[#This Row],[Age]]&lt;15)),"Error","OK")</f>
        <v>OK</v>
      </c>
      <c r="S418" s="4">
        <f>Table1[[#This Row],[Bill_Amount]]+Table1[[#This Row],[Surgery_Cost]]</f>
        <v>247916</v>
      </c>
    </row>
    <row r="419" spans="1:19" x14ac:dyDescent="0.35">
      <c r="A419" s="19" t="s">
        <v>458</v>
      </c>
      <c r="B419" s="20" t="s">
        <v>958</v>
      </c>
      <c r="C419" s="21">
        <v>16</v>
      </c>
      <c r="D419" s="20" t="s">
        <v>1057</v>
      </c>
      <c r="E419" s="20" t="s">
        <v>1016</v>
      </c>
      <c r="F419" s="20" t="s">
        <v>1023</v>
      </c>
      <c r="G419" s="20" t="s">
        <v>1040</v>
      </c>
      <c r="H419" s="29">
        <v>45765</v>
      </c>
      <c r="I419" s="29">
        <v>45780</v>
      </c>
      <c r="J419" s="24">
        <v>232331</v>
      </c>
      <c r="K419" s="21">
        <v>1</v>
      </c>
      <c r="L419" s="21">
        <v>5</v>
      </c>
      <c r="M419" s="21">
        <v>1</v>
      </c>
      <c r="N419" s="24">
        <v>0</v>
      </c>
      <c r="O419" s="21">
        <v>15</v>
      </c>
      <c r="P419" t="str">
        <f t="shared" si="12"/>
        <v>Teenagers</v>
      </c>
      <c r="Q419" t="str">
        <f t="shared" si="13"/>
        <v>High</v>
      </c>
      <c r="R419" t="str">
        <f>IF(OR(AND(Table1[[#This Row],[Diagnosis]]="Labour Complication",Table1[[#This Row],[Gender]]="M"), AND(Table1[[#This Row],[Diagnosis]]="Labour Complication",Table1[[#This Row],[Age]]&lt;15)),"Error","OK")</f>
        <v>OK</v>
      </c>
      <c r="S419" s="4">
        <f>Table1[[#This Row],[Bill_Amount]]+Table1[[#This Row],[Surgery_Cost]]</f>
        <v>232331</v>
      </c>
    </row>
    <row r="420" spans="1:19" x14ac:dyDescent="0.35">
      <c r="A420" s="16" t="s">
        <v>459</v>
      </c>
      <c r="B420" s="17" t="s">
        <v>959</v>
      </c>
      <c r="C420" s="18">
        <v>29</v>
      </c>
      <c r="D420" s="17" t="s">
        <v>1057</v>
      </c>
      <c r="E420" s="17" t="s">
        <v>1019</v>
      </c>
      <c r="F420" s="17" t="s">
        <v>1026</v>
      </c>
      <c r="G420" s="17" t="s">
        <v>1033</v>
      </c>
      <c r="H420" s="30">
        <v>45765</v>
      </c>
      <c r="I420" s="30">
        <v>45769</v>
      </c>
      <c r="J420" s="25">
        <v>431607</v>
      </c>
      <c r="K420" s="18">
        <v>8</v>
      </c>
      <c r="L420" s="18">
        <v>17</v>
      </c>
      <c r="M420" s="18">
        <v>1</v>
      </c>
      <c r="N420" s="25">
        <v>0</v>
      </c>
      <c r="O420" s="18">
        <v>4</v>
      </c>
      <c r="P420" t="str">
        <f t="shared" si="12"/>
        <v>Adults</v>
      </c>
      <c r="Q420" t="str">
        <f t="shared" si="13"/>
        <v>High</v>
      </c>
      <c r="R420" t="str">
        <f>IF(OR(AND(Table1[[#This Row],[Diagnosis]]="Labour Complication",Table1[[#This Row],[Gender]]="M"), AND(Table1[[#This Row],[Diagnosis]]="Labour Complication",Table1[[#This Row],[Age]]&lt;15)),"Error","OK")</f>
        <v>OK</v>
      </c>
      <c r="S420" s="4">
        <f>Table1[[#This Row],[Bill_Amount]]+Table1[[#This Row],[Surgery_Cost]]</f>
        <v>431607</v>
      </c>
    </row>
    <row r="421" spans="1:19" x14ac:dyDescent="0.35">
      <c r="A421" s="19" t="s">
        <v>460</v>
      </c>
      <c r="B421" s="20" t="s">
        <v>960</v>
      </c>
      <c r="C421" s="21">
        <v>70</v>
      </c>
      <c r="D421" s="20" t="s">
        <v>1058</v>
      </c>
      <c r="E421" s="20" t="s">
        <v>1021</v>
      </c>
      <c r="F421" s="20" t="s">
        <v>1028</v>
      </c>
      <c r="G421" s="20" t="s">
        <v>1036</v>
      </c>
      <c r="H421" s="29">
        <v>45747</v>
      </c>
      <c r="I421" s="29">
        <v>45756</v>
      </c>
      <c r="J421" s="24">
        <v>403107</v>
      </c>
      <c r="K421" s="21">
        <v>9</v>
      </c>
      <c r="L421" s="21">
        <v>7</v>
      </c>
      <c r="M421" s="21">
        <v>1</v>
      </c>
      <c r="N421" s="24">
        <v>154326</v>
      </c>
      <c r="O421" s="21">
        <v>9</v>
      </c>
      <c r="P421" t="str">
        <f t="shared" si="12"/>
        <v>Older Adults</v>
      </c>
      <c r="Q421" t="str">
        <f t="shared" si="13"/>
        <v>High</v>
      </c>
      <c r="R421" t="str">
        <f>IF(OR(AND(Table1[[#This Row],[Diagnosis]]="Labour Complication",Table1[[#This Row],[Gender]]="M"), AND(Table1[[#This Row],[Diagnosis]]="Labour Complication",Table1[[#This Row],[Age]]&lt;15)),"Error","OK")</f>
        <v>OK</v>
      </c>
      <c r="S421" s="4">
        <f>Table1[[#This Row],[Bill_Amount]]+Table1[[#This Row],[Surgery_Cost]]</f>
        <v>557433</v>
      </c>
    </row>
    <row r="422" spans="1:19" x14ac:dyDescent="0.35">
      <c r="A422" s="16" t="s">
        <v>461</v>
      </c>
      <c r="B422" s="17" t="s">
        <v>961</v>
      </c>
      <c r="C422" s="18">
        <v>59</v>
      </c>
      <c r="D422" s="17" t="s">
        <v>1058</v>
      </c>
      <c r="E422" s="17" t="s">
        <v>1022</v>
      </c>
      <c r="F422" s="17" t="s">
        <v>1029</v>
      </c>
      <c r="G422" s="17" t="s">
        <v>1039</v>
      </c>
      <c r="H422" s="30">
        <v>45780</v>
      </c>
      <c r="I422" s="30">
        <v>45785</v>
      </c>
      <c r="J422" s="25">
        <v>179767</v>
      </c>
      <c r="K422" s="18">
        <v>2</v>
      </c>
      <c r="L422" s="18">
        <v>11</v>
      </c>
      <c r="M422" s="18">
        <v>1</v>
      </c>
      <c r="N422" s="25">
        <v>0</v>
      </c>
      <c r="O422" s="18">
        <v>5</v>
      </c>
      <c r="P422" t="str">
        <f t="shared" si="12"/>
        <v>Adults</v>
      </c>
      <c r="Q422" t="str">
        <f t="shared" si="13"/>
        <v>High</v>
      </c>
      <c r="R422" t="str">
        <f>IF(OR(AND(Table1[[#This Row],[Diagnosis]]="Labour Complication",Table1[[#This Row],[Gender]]="M"), AND(Table1[[#This Row],[Diagnosis]]="Labour Complication",Table1[[#This Row],[Age]]&lt;15)),"Error","OK")</f>
        <v>OK</v>
      </c>
      <c r="S422" s="4">
        <f>Table1[[#This Row],[Bill_Amount]]+Table1[[#This Row],[Surgery_Cost]]</f>
        <v>179767</v>
      </c>
    </row>
    <row r="423" spans="1:19" x14ac:dyDescent="0.35">
      <c r="A423" s="19" t="s">
        <v>462</v>
      </c>
      <c r="B423" s="20" t="s">
        <v>962</v>
      </c>
      <c r="C423" s="21">
        <v>15</v>
      </c>
      <c r="D423" s="20" t="s">
        <v>1057</v>
      </c>
      <c r="E423" s="20" t="s">
        <v>1021</v>
      </c>
      <c r="F423" s="20" t="s">
        <v>1028</v>
      </c>
      <c r="G423" s="20" t="s">
        <v>1036</v>
      </c>
      <c r="H423" s="29">
        <v>45800</v>
      </c>
      <c r="I423" s="29">
        <v>45805</v>
      </c>
      <c r="J423" s="24">
        <v>430121</v>
      </c>
      <c r="K423" s="21">
        <v>4</v>
      </c>
      <c r="L423" s="21">
        <v>16</v>
      </c>
      <c r="M423" s="21">
        <v>4</v>
      </c>
      <c r="N423" s="24">
        <v>297697</v>
      </c>
      <c r="O423" s="21">
        <v>5</v>
      </c>
      <c r="P423" t="str">
        <f t="shared" si="12"/>
        <v>Teenagers</v>
      </c>
      <c r="Q423" t="str">
        <f t="shared" si="13"/>
        <v>High</v>
      </c>
      <c r="R423" t="str">
        <f>IF(OR(AND(Table1[[#This Row],[Diagnosis]]="Labour Complication",Table1[[#This Row],[Gender]]="M"), AND(Table1[[#This Row],[Diagnosis]]="Labour Complication",Table1[[#This Row],[Age]]&lt;15)),"Error","OK")</f>
        <v>OK</v>
      </c>
      <c r="S423" s="4">
        <f>Table1[[#This Row],[Bill_Amount]]+Table1[[#This Row],[Surgery_Cost]]</f>
        <v>727818</v>
      </c>
    </row>
    <row r="424" spans="1:19" x14ac:dyDescent="0.35">
      <c r="A424" s="16" t="s">
        <v>463</v>
      </c>
      <c r="B424" s="17" t="s">
        <v>963</v>
      </c>
      <c r="C424" s="18">
        <v>31</v>
      </c>
      <c r="D424" s="17" t="s">
        <v>1057</v>
      </c>
      <c r="E424" s="17" t="s">
        <v>1019</v>
      </c>
      <c r="F424" s="17" t="s">
        <v>1026</v>
      </c>
      <c r="G424" s="17" t="s">
        <v>1033</v>
      </c>
      <c r="H424" s="30">
        <v>45783</v>
      </c>
      <c r="I424" s="30">
        <v>45797</v>
      </c>
      <c r="J424" s="25">
        <v>58202</v>
      </c>
      <c r="K424" s="18">
        <v>7</v>
      </c>
      <c r="L424" s="18">
        <v>18</v>
      </c>
      <c r="M424" s="18">
        <v>3</v>
      </c>
      <c r="N424" s="25">
        <v>0</v>
      </c>
      <c r="O424" s="18">
        <v>14</v>
      </c>
      <c r="P424" t="str">
        <f t="shared" si="12"/>
        <v>Adults</v>
      </c>
      <c r="Q424" t="str">
        <f t="shared" si="13"/>
        <v>Low</v>
      </c>
      <c r="R424" t="str">
        <f>IF(OR(AND(Table1[[#This Row],[Diagnosis]]="Labour Complication",Table1[[#This Row],[Gender]]="M"), AND(Table1[[#This Row],[Diagnosis]]="Labour Complication",Table1[[#This Row],[Age]]&lt;15)),"Error","OK")</f>
        <v>OK</v>
      </c>
      <c r="S424" s="4">
        <f>Table1[[#This Row],[Bill_Amount]]+Table1[[#This Row],[Surgery_Cost]]</f>
        <v>58202</v>
      </c>
    </row>
    <row r="425" spans="1:19" x14ac:dyDescent="0.35">
      <c r="A425" s="19" t="s">
        <v>464</v>
      </c>
      <c r="B425" s="20" t="s">
        <v>964</v>
      </c>
      <c r="C425" s="21">
        <v>58</v>
      </c>
      <c r="D425" s="20" t="s">
        <v>1057</v>
      </c>
      <c r="E425" s="20" t="s">
        <v>1018</v>
      </c>
      <c r="F425" s="20" t="s">
        <v>1025</v>
      </c>
      <c r="G425" s="20" t="s">
        <v>1044</v>
      </c>
      <c r="H425" s="29">
        <v>45758</v>
      </c>
      <c r="I425" s="29">
        <v>45769</v>
      </c>
      <c r="J425" s="24">
        <v>67603</v>
      </c>
      <c r="K425" s="21">
        <v>9</v>
      </c>
      <c r="L425" s="21">
        <v>5</v>
      </c>
      <c r="M425" s="21">
        <v>2</v>
      </c>
      <c r="N425" s="24">
        <v>0</v>
      </c>
      <c r="O425" s="21">
        <v>11</v>
      </c>
      <c r="P425" t="str">
        <f t="shared" si="12"/>
        <v>Adults</v>
      </c>
      <c r="Q425" t="str">
        <f t="shared" si="13"/>
        <v>Low</v>
      </c>
      <c r="R425" t="str">
        <f>IF(OR(AND(Table1[[#This Row],[Diagnosis]]="Labour Complication",Table1[[#This Row],[Gender]]="M"), AND(Table1[[#This Row],[Diagnosis]]="Labour Complication",Table1[[#This Row],[Age]]&lt;15)),"Error","OK")</f>
        <v>OK</v>
      </c>
      <c r="S425" s="4">
        <f>Table1[[#This Row],[Bill_Amount]]+Table1[[#This Row],[Surgery_Cost]]</f>
        <v>67603</v>
      </c>
    </row>
    <row r="426" spans="1:19" x14ac:dyDescent="0.35">
      <c r="A426" s="16" t="s">
        <v>465</v>
      </c>
      <c r="B426" s="17" t="s">
        <v>965</v>
      </c>
      <c r="C426" s="18">
        <v>57</v>
      </c>
      <c r="D426" s="17" t="s">
        <v>1057</v>
      </c>
      <c r="E426" s="17" t="s">
        <v>1016</v>
      </c>
      <c r="F426" s="17" t="s">
        <v>1023</v>
      </c>
      <c r="G426" s="17" t="s">
        <v>1030</v>
      </c>
      <c r="H426" s="30">
        <v>45764</v>
      </c>
      <c r="I426" s="30">
        <v>45766</v>
      </c>
      <c r="J426" s="25">
        <v>260902</v>
      </c>
      <c r="K426" s="18">
        <v>6</v>
      </c>
      <c r="L426" s="18">
        <v>1</v>
      </c>
      <c r="M426" s="18">
        <v>3</v>
      </c>
      <c r="N426" s="25">
        <v>0</v>
      </c>
      <c r="O426" s="18">
        <v>2</v>
      </c>
      <c r="P426" t="str">
        <f t="shared" si="12"/>
        <v>Adults</v>
      </c>
      <c r="Q426" t="str">
        <f t="shared" si="13"/>
        <v>High</v>
      </c>
      <c r="R426" t="str">
        <f>IF(OR(AND(Table1[[#This Row],[Diagnosis]]="Labour Complication",Table1[[#This Row],[Gender]]="M"), AND(Table1[[#This Row],[Diagnosis]]="Labour Complication",Table1[[#This Row],[Age]]&lt;15)),"Error","OK")</f>
        <v>OK</v>
      </c>
      <c r="S426" s="4">
        <f>Table1[[#This Row],[Bill_Amount]]+Table1[[#This Row],[Surgery_Cost]]</f>
        <v>260902</v>
      </c>
    </row>
    <row r="427" spans="1:19" x14ac:dyDescent="0.35">
      <c r="A427" s="19" t="s">
        <v>466</v>
      </c>
      <c r="B427" s="20" t="s">
        <v>966</v>
      </c>
      <c r="C427" s="21">
        <v>8</v>
      </c>
      <c r="D427" s="20" t="s">
        <v>1057</v>
      </c>
      <c r="E427" s="20" t="s">
        <v>1022</v>
      </c>
      <c r="F427" s="20" t="s">
        <v>1029</v>
      </c>
      <c r="G427" s="20" t="s">
        <v>1041</v>
      </c>
      <c r="H427" s="29">
        <v>45763</v>
      </c>
      <c r="I427" s="29">
        <v>45778</v>
      </c>
      <c r="J427" s="24">
        <v>456880</v>
      </c>
      <c r="K427" s="21">
        <v>7</v>
      </c>
      <c r="L427" s="21">
        <v>13</v>
      </c>
      <c r="M427" s="21">
        <v>3</v>
      </c>
      <c r="N427" s="24">
        <v>0</v>
      </c>
      <c r="O427" s="21">
        <v>15</v>
      </c>
      <c r="P427" t="str">
        <f t="shared" si="12"/>
        <v>Children</v>
      </c>
      <c r="Q427" t="str">
        <f t="shared" si="13"/>
        <v>High</v>
      </c>
      <c r="R427" t="str">
        <f>IF(OR(AND(Table1[[#This Row],[Diagnosis]]="Labour Complication",Table1[[#This Row],[Gender]]="M"), AND(Table1[[#This Row],[Diagnosis]]="Labour Complication",Table1[[#This Row],[Age]]&lt;15)),"Error","OK")</f>
        <v>OK</v>
      </c>
      <c r="S427" s="4">
        <f>Table1[[#This Row],[Bill_Amount]]+Table1[[#This Row],[Surgery_Cost]]</f>
        <v>456880</v>
      </c>
    </row>
    <row r="428" spans="1:19" x14ac:dyDescent="0.35">
      <c r="A428" s="16" t="s">
        <v>469</v>
      </c>
      <c r="B428" s="17" t="s">
        <v>969</v>
      </c>
      <c r="C428" s="18">
        <v>72</v>
      </c>
      <c r="D428" s="17" t="s">
        <v>1057</v>
      </c>
      <c r="E428" s="17" t="s">
        <v>1021</v>
      </c>
      <c r="F428" s="17" t="s">
        <v>1028</v>
      </c>
      <c r="G428" s="17" t="s">
        <v>1036</v>
      </c>
      <c r="H428" s="30">
        <v>45756</v>
      </c>
      <c r="I428" s="30">
        <v>45762</v>
      </c>
      <c r="J428" s="25">
        <v>81959</v>
      </c>
      <c r="K428" s="18">
        <v>9</v>
      </c>
      <c r="L428" s="18">
        <v>12</v>
      </c>
      <c r="M428" s="18">
        <v>3</v>
      </c>
      <c r="N428" s="25">
        <v>110999</v>
      </c>
      <c r="O428" s="18">
        <v>6</v>
      </c>
      <c r="P428" t="str">
        <f t="shared" si="12"/>
        <v>Older Adults</v>
      </c>
      <c r="Q428" t="str">
        <f t="shared" si="13"/>
        <v>Low</v>
      </c>
      <c r="R428" t="str">
        <f>IF(OR(AND(Table1[[#This Row],[Diagnosis]]="Labour Complication",Table1[[#This Row],[Gender]]="M"), AND(Table1[[#This Row],[Diagnosis]]="Labour Complication",Table1[[#This Row],[Age]]&lt;15)),"Error","OK")</f>
        <v>OK</v>
      </c>
      <c r="S428" s="4">
        <f>Table1[[#This Row],[Bill_Amount]]+Table1[[#This Row],[Surgery_Cost]]</f>
        <v>192958</v>
      </c>
    </row>
    <row r="429" spans="1:19" x14ac:dyDescent="0.35">
      <c r="A429" s="19" t="s">
        <v>470</v>
      </c>
      <c r="B429" s="20" t="s">
        <v>970</v>
      </c>
      <c r="C429" s="21">
        <v>45</v>
      </c>
      <c r="D429" s="20" t="s">
        <v>1058</v>
      </c>
      <c r="E429" s="20" t="s">
        <v>1019</v>
      </c>
      <c r="F429" s="20" t="s">
        <v>1026</v>
      </c>
      <c r="G429" s="20" t="s">
        <v>1038</v>
      </c>
      <c r="H429" s="29">
        <v>45799</v>
      </c>
      <c r="I429" s="29">
        <v>45808</v>
      </c>
      <c r="J429" s="24">
        <v>74580</v>
      </c>
      <c r="K429" s="21">
        <v>7</v>
      </c>
      <c r="L429" s="21">
        <v>8</v>
      </c>
      <c r="M429" s="21">
        <v>4</v>
      </c>
      <c r="N429" s="24">
        <v>0</v>
      </c>
      <c r="O429" s="21">
        <v>9</v>
      </c>
      <c r="P429" t="str">
        <f t="shared" si="12"/>
        <v>Adults</v>
      </c>
      <c r="Q429" t="str">
        <f t="shared" si="13"/>
        <v>Low</v>
      </c>
      <c r="R429" t="str">
        <f>IF(OR(AND(Table1[[#This Row],[Diagnosis]]="Labour Complication",Table1[[#This Row],[Gender]]="M"), AND(Table1[[#This Row],[Diagnosis]]="Labour Complication",Table1[[#This Row],[Age]]&lt;15)),"Error","OK")</f>
        <v>OK</v>
      </c>
      <c r="S429" s="4">
        <f>Table1[[#This Row],[Bill_Amount]]+Table1[[#This Row],[Surgery_Cost]]</f>
        <v>74580</v>
      </c>
    </row>
    <row r="430" spans="1:19" x14ac:dyDescent="0.35">
      <c r="A430" s="16" t="s">
        <v>471</v>
      </c>
      <c r="B430" s="17" t="s">
        <v>971</v>
      </c>
      <c r="C430" s="18">
        <v>20</v>
      </c>
      <c r="D430" s="17" t="s">
        <v>1058</v>
      </c>
      <c r="E430" s="17" t="s">
        <v>1016</v>
      </c>
      <c r="F430" s="17" t="s">
        <v>1023</v>
      </c>
      <c r="G430" s="17" t="s">
        <v>1040</v>
      </c>
      <c r="H430" s="30">
        <v>45774</v>
      </c>
      <c r="I430" s="30">
        <v>45782</v>
      </c>
      <c r="J430" s="25">
        <v>264045</v>
      </c>
      <c r="K430" s="18">
        <v>3</v>
      </c>
      <c r="L430" s="18">
        <v>3</v>
      </c>
      <c r="M430" s="18">
        <v>1</v>
      </c>
      <c r="N430" s="25">
        <v>0</v>
      </c>
      <c r="O430" s="18">
        <v>8</v>
      </c>
      <c r="P430" t="str">
        <f t="shared" si="12"/>
        <v>Adults</v>
      </c>
      <c r="Q430" t="str">
        <f t="shared" si="13"/>
        <v>High</v>
      </c>
      <c r="R430" t="str">
        <f>IF(OR(AND(Table1[[#This Row],[Diagnosis]]="Labour Complication",Table1[[#This Row],[Gender]]="M"), AND(Table1[[#This Row],[Diagnosis]]="Labour Complication",Table1[[#This Row],[Age]]&lt;15)),"Error","OK")</f>
        <v>OK</v>
      </c>
      <c r="S430" s="4">
        <f>Table1[[#This Row],[Bill_Amount]]+Table1[[#This Row],[Surgery_Cost]]</f>
        <v>264045</v>
      </c>
    </row>
    <row r="431" spans="1:19" x14ac:dyDescent="0.35">
      <c r="A431" s="19" t="s">
        <v>472</v>
      </c>
      <c r="B431" s="20" t="s">
        <v>972</v>
      </c>
      <c r="C431" s="21">
        <v>61</v>
      </c>
      <c r="D431" s="20" t="s">
        <v>1057</v>
      </c>
      <c r="E431" s="20" t="s">
        <v>1017</v>
      </c>
      <c r="F431" s="20" t="s">
        <v>1024</v>
      </c>
      <c r="G431" s="20" t="s">
        <v>1042</v>
      </c>
      <c r="H431" s="29">
        <v>45781</v>
      </c>
      <c r="I431" s="29">
        <v>45795</v>
      </c>
      <c r="J431" s="24">
        <v>332029</v>
      </c>
      <c r="K431" s="21">
        <v>5</v>
      </c>
      <c r="L431" s="21">
        <v>18</v>
      </c>
      <c r="M431" s="21">
        <v>4</v>
      </c>
      <c r="N431" s="24">
        <v>0</v>
      </c>
      <c r="O431" s="21">
        <v>14</v>
      </c>
      <c r="P431" t="str">
        <f t="shared" si="12"/>
        <v>Older Adults</v>
      </c>
      <c r="Q431" t="str">
        <f t="shared" si="13"/>
        <v>High</v>
      </c>
      <c r="R431" t="str">
        <f>IF(OR(AND(Table1[[#This Row],[Diagnosis]]="Labour Complication",Table1[[#This Row],[Gender]]="M"), AND(Table1[[#This Row],[Diagnosis]]="Labour Complication",Table1[[#This Row],[Age]]&lt;15)),"Error","OK")</f>
        <v>OK</v>
      </c>
      <c r="S431" s="4">
        <f>Table1[[#This Row],[Bill_Amount]]+Table1[[#This Row],[Surgery_Cost]]</f>
        <v>332029</v>
      </c>
    </row>
    <row r="432" spans="1:19" x14ac:dyDescent="0.35">
      <c r="A432" s="16" t="s">
        <v>473</v>
      </c>
      <c r="B432" s="17" t="s">
        <v>973</v>
      </c>
      <c r="C432" s="18">
        <v>19</v>
      </c>
      <c r="D432" s="17" t="s">
        <v>1058</v>
      </c>
      <c r="E432" s="17" t="s">
        <v>1021</v>
      </c>
      <c r="F432" s="17" t="s">
        <v>1028</v>
      </c>
      <c r="G432" s="17" t="s">
        <v>1035</v>
      </c>
      <c r="H432" s="30">
        <v>45774</v>
      </c>
      <c r="I432" s="30">
        <v>45789</v>
      </c>
      <c r="J432" s="25">
        <v>420974</v>
      </c>
      <c r="K432" s="18">
        <v>2</v>
      </c>
      <c r="L432" s="18">
        <v>19</v>
      </c>
      <c r="M432" s="18">
        <v>3</v>
      </c>
      <c r="N432" s="25">
        <v>152301</v>
      </c>
      <c r="O432" s="18">
        <v>15</v>
      </c>
      <c r="P432" t="str">
        <f t="shared" si="12"/>
        <v>Teenagers</v>
      </c>
      <c r="Q432" t="str">
        <f t="shared" si="13"/>
        <v>High</v>
      </c>
      <c r="R432" t="str">
        <f>IF(OR(AND(Table1[[#This Row],[Diagnosis]]="Labour Complication",Table1[[#This Row],[Gender]]="M"), AND(Table1[[#This Row],[Diagnosis]]="Labour Complication",Table1[[#This Row],[Age]]&lt;15)),"Error","OK")</f>
        <v>OK</v>
      </c>
      <c r="S432" s="4">
        <f>Table1[[#This Row],[Bill_Amount]]+Table1[[#This Row],[Surgery_Cost]]</f>
        <v>573275</v>
      </c>
    </row>
    <row r="433" spans="1:19" x14ac:dyDescent="0.35">
      <c r="A433" s="19" t="s">
        <v>474</v>
      </c>
      <c r="B433" s="20" t="s">
        <v>974</v>
      </c>
      <c r="C433" s="21">
        <v>72</v>
      </c>
      <c r="D433" s="20" t="s">
        <v>1057</v>
      </c>
      <c r="E433" s="20" t="s">
        <v>1019</v>
      </c>
      <c r="F433" s="20" t="s">
        <v>1026</v>
      </c>
      <c r="G433" s="20" t="s">
        <v>1038</v>
      </c>
      <c r="H433" s="29">
        <v>45773</v>
      </c>
      <c r="I433" s="29">
        <v>45781</v>
      </c>
      <c r="J433" s="24">
        <v>268370</v>
      </c>
      <c r="K433" s="21">
        <v>7</v>
      </c>
      <c r="L433" s="21">
        <v>9</v>
      </c>
      <c r="M433" s="21">
        <v>2</v>
      </c>
      <c r="N433" s="24">
        <v>0</v>
      </c>
      <c r="O433" s="21">
        <v>8</v>
      </c>
      <c r="P433" t="str">
        <f t="shared" si="12"/>
        <v>Older Adults</v>
      </c>
      <c r="Q433" t="str">
        <f t="shared" si="13"/>
        <v>High</v>
      </c>
      <c r="R433" t="str">
        <f>IF(OR(AND(Table1[[#This Row],[Diagnosis]]="Labour Complication",Table1[[#This Row],[Gender]]="M"), AND(Table1[[#This Row],[Diagnosis]]="Labour Complication",Table1[[#This Row],[Age]]&lt;15)),"Error","OK")</f>
        <v>OK</v>
      </c>
      <c r="S433" s="4">
        <f>Table1[[#This Row],[Bill_Amount]]+Table1[[#This Row],[Surgery_Cost]]</f>
        <v>268370</v>
      </c>
    </row>
    <row r="434" spans="1:19" x14ac:dyDescent="0.35">
      <c r="A434" s="19" t="s">
        <v>476</v>
      </c>
      <c r="B434" s="20" t="s">
        <v>976</v>
      </c>
      <c r="C434" s="21">
        <v>69</v>
      </c>
      <c r="D434" s="20" t="s">
        <v>1057</v>
      </c>
      <c r="E434" s="20" t="s">
        <v>1022</v>
      </c>
      <c r="F434" s="20" t="s">
        <v>1029</v>
      </c>
      <c r="G434" s="20" t="s">
        <v>1039</v>
      </c>
      <c r="H434" s="29">
        <v>45768</v>
      </c>
      <c r="I434" s="29">
        <v>45775</v>
      </c>
      <c r="J434" s="24">
        <v>98477</v>
      </c>
      <c r="K434" s="21">
        <v>6</v>
      </c>
      <c r="L434" s="21">
        <v>2</v>
      </c>
      <c r="M434" s="21">
        <v>3</v>
      </c>
      <c r="N434" s="24">
        <v>0</v>
      </c>
      <c r="O434" s="21">
        <v>7</v>
      </c>
      <c r="P434" t="str">
        <f t="shared" si="12"/>
        <v>Older Adults</v>
      </c>
      <c r="Q434" t="str">
        <f t="shared" si="13"/>
        <v>Low</v>
      </c>
      <c r="R434" t="str">
        <f>IF(OR(AND(Table1[[#This Row],[Diagnosis]]="Labour Complication",Table1[[#This Row],[Gender]]="M"), AND(Table1[[#This Row],[Diagnosis]]="Labour Complication",Table1[[#This Row],[Age]]&lt;15)),"Error","OK")</f>
        <v>OK</v>
      </c>
      <c r="S434" s="4">
        <f>Table1[[#This Row],[Bill_Amount]]+Table1[[#This Row],[Surgery_Cost]]</f>
        <v>98477</v>
      </c>
    </row>
    <row r="435" spans="1:19" x14ac:dyDescent="0.35">
      <c r="A435" s="16" t="s">
        <v>477</v>
      </c>
      <c r="B435" s="17" t="s">
        <v>977</v>
      </c>
      <c r="C435" s="18">
        <v>78</v>
      </c>
      <c r="D435" s="17" t="s">
        <v>1057</v>
      </c>
      <c r="E435" s="17" t="s">
        <v>1021</v>
      </c>
      <c r="F435" s="17" t="s">
        <v>1028</v>
      </c>
      <c r="G435" s="17" t="s">
        <v>1035</v>
      </c>
      <c r="H435" s="30">
        <v>45798</v>
      </c>
      <c r="I435" s="30">
        <v>45806</v>
      </c>
      <c r="J435" s="25">
        <v>403198</v>
      </c>
      <c r="K435" s="18">
        <v>3</v>
      </c>
      <c r="L435" s="18">
        <v>9</v>
      </c>
      <c r="M435" s="18">
        <v>3</v>
      </c>
      <c r="N435" s="25">
        <v>272362</v>
      </c>
      <c r="O435" s="18">
        <v>8</v>
      </c>
      <c r="P435" t="str">
        <f t="shared" si="12"/>
        <v>Older Adults</v>
      </c>
      <c r="Q435" t="str">
        <f t="shared" si="13"/>
        <v>High</v>
      </c>
      <c r="R435" t="str">
        <f>IF(OR(AND(Table1[[#This Row],[Diagnosis]]="Labour Complication",Table1[[#This Row],[Gender]]="M"), AND(Table1[[#This Row],[Diagnosis]]="Labour Complication",Table1[[#This Row],[Age]]&lt;15)),"Error","OK")</f>
        <v>OK</v>
      </c>
      <c r="S435" s="4">
        <f>Table1[[#This Row],[Bill_Amount]]+Table1[[#This Row],[Surgery_Cost]]</f>
        <v>675560</v>
      </c>
    </row>
    <row r="436" spans="1:19" x14ac:dyDescent="0.35">
      <c r="A436" s="16" t="s">
        <v>479</v>
      </c>
      <c r="B436" s="17" t="s">
        <v>979</v>
      </c>
      <c r="C436" s="18">
        <v>39</v>
      </c>
      <c r="D436" s="17" t="s">
        <v>1057</v>
      </c>
      <c r="E436" s="17" t="s">
        <v>1017</v>
      </c>
      <c r="F436" s="17" t="s">
        <v>1024</v>
      </c>
      <c r="G436" s="17" t="s">
        <v>1042</v>
      </c>
      <c r="H436" s="30">
        <v>45755</v>
      </c>
      <c r="I436" s="30">
        <v>45770</v>
      </c>
      <c r="J436" s="25">
        <v>224569</v>
      </c>
      <c r="K436" s="18">
        <v>6</v>
      </c>
      <c r="L436" s="18">
        <v>4</v>
      </c>
      <c r="M436" s="18">
        <v>3</v>
      </c>
      <c r="N436" s="25">
        <v>0</v>
      </c>
      <c r="O436" s="18">
        <v>15</v>
      </c>
      <c r="P436" t="str">
        <f t="shared" si="12"/>
        <v>Adults</v>
      </c>
      <c r="Q436" t="str">
        <f t="shared" si="13"/>
        <v>High</v>
      </c>
      <c r="R436" t="str">
        <f>IF(OR(AND(Table1[[#This Row],[Diagnosis]]="Labour Complication",Table1[[#This Row],[Gender]]="M"), AND(Table1[[#This Row],[Diagnosis]]="Labour Complication",Table1[[#This Row],[Age]]&lt;15)),"Error","OK")</f>
        <v>OK</v>
      </c>
      <c r="S436" s="4">
        <f>Table1[[#This Row],[Bill_Amount]]+Table1[[#This Row],[Surgery_Cost]]</f>
        <v>224569</v>
      </c>
    </row>
    <row r="437" spans="1:19" x14ac:dyDescent="0.35">
      <c r="A437" s="19" t="s">
        <v>480</v>
      </c>
      <c r="B437" s="20" t="s">
        <v>980</v>
      </c>
      <c r="C437" s="21">
        <v>62</v>
      </c>
      <c r="D437" s="20" t="s">
        <v>1057</v>
      </c>
      <c r="E437" s="20" t="s">
        <v>1017</v>
      </c>
      <c r="F437" s="20" t="s">
        <v>1024</v>
      </c>
      <c r="G437" s="20" t="s">
        <v>1042</v>
      </c>
      <c r="H437" s="29">
        <v>45759</v>
      </c>
      <c r="I437" s="29">
        <v>45772</v>
      </c>
      <c r="J437" s="24">
        <v>111507</v>
      </c>
      <c r="K437" s="21">
        <v>8</v>
      </c>
      <c r="L437" s="21">
        <v>8</v>
      </c>
      <c r="M437" s="21">
        <v>3</v>
      </c>
      <c r="N437" s="24">
        <v>0</v>
      </c>
      <c r="O437" s="21">
        <v>13</v>
      </c>
      <c r="P437" t="str">
        <f t="shared" si="12"/>
        <v>Older Adults</v>
      </c>
      <c r="Q437" t="str">
        <f t="shared" si="13"/>
        <v>Medium</v>
      </c>
      <c r="R437" t="str">
        <f>IF(OR(AND(Table1[[#This Row],[Diagnosis]]="Labour Complication",Table1[[#This Row],[Gender]]="M"), AND(Table1[[#This Row],[Diagnosis]]="Labour Complication",Table1[[#This Row],[Age]]&lt;15)),"Error","OK")</f>
        <v>OK</v>
      </c>
      <c r="S437" s="4">
        <f>Table1[[#This Row],[Bill_Amount]]+Table1[[#This Row],[Surgery_Cost]]</f>
        <v>111507</v>
      </c>
    </row>
    <row r="438" spans="1:19" x14ac:dyDescent="0.35">
      <c r="A438" s="16" t="s">
        <v>481</v>
      </c>
      <c r="B438" s="17" t="s">
        <v>981</v>
      </c>
      <c r="C438" s="18">
        <v>42</v>
      </c>
      <c r="D438" s="17" t="s">
        <v>1058</v>
      </c>
      <c r="E438" s="17" t="s">
        <v>1020</v>
      </c>
      <c r="F438" s="17" t="s">
        <v>1027</v>
      </c>
      <c r="G438" s="17" t="s">
        <v>1034</v>
      </c>
      <c r="H438" s="30">
        <v>45754</v>
      </c>
      <c r="I438" s="30">
        <v>45759</v>
      </c>
      <c r="J438" s="25">
        <v>339448</v>
      </c>
      <c r="K438" s="18">
        <v>2</v>
      </c>
      <c r="L438" s="18">
        <v>1</v>
      </c>
      <c r="M438" s="18">
        <v>3</v>
      </c>
      <c r="N438" s="25">
        <v>0</v>
      </c>
      <c r="O438" s="18">
        <v>5</v>
      </c>
      <c r="P438" t="str">
        <f t="shared" si="12"/>
        <v>Adults</v>
      </c>
      <c r="Q438" t="str">
        <f t="shared" si="13"/>
        <v>High</v>
      </c>
      <c r="R438" t="str">
        <f>IF(OR(AND(Table1[[#This Row],[Diagnosis]]="Labour Complication",Table1[[#This Row],[Gender]]="M"), AND(Table1[[#This Row],[Diagnosis]]="Labour Complication",Table1[[#This Row],[Age]]&lt;15)),"Error","OK")</f>
        <v>OK</v>
      </c>
      <c r="S438" s="4">
        <f>Table1[[#This Row],[Bill_Amount]]+Table1[[#This Row],[Surgery_Cost]]</f>
        <v>339448</v>
      </c>
    </row>
    <row r="439" spans="1:19" x14ac:dyDescent="0.35">
      <c r="A439" s="19" t="s">
        <v>482</v>
      </c>
      <c r="B439" s="20" t="s">
        <v>982</v>
      </c>
      <c r="C439" s="21">
        <v>46</v>
      </c>
      <c r="D439" s="20" t="s">
        <v>1058</v>
      </c>
      <c r="E439" s="20" t="s">
        <v>1020</v>
      </c>
      <c r="F439" s="20" t="s">
        <v>1027</v>
      </c>
      <c r="G439" s="20" t="s">
        <v>1034</v>
      </c>
      <c r="H439" s="29">
        <v>45771</v>
      </c>
      <c r="I439" s="29">
        <v>45781</v>
      </c>
      <c r="J439" s="24">
        <v>390116</v>
      </c>
      <c r="K439" s="21">
        <v>8</v>
      </c>
      <c r="L439" s="21">
        <v>3</v>
      </c>
      <c r="M439" s="21">
        <v>3</v>
      </c>
      <c r="N439" s="24">
        <v>0</v>
      </c>
      <c r="O439" s="21">
        <v>10</v>
      </c>
      <c r="P439" t="str">
        <f t="shared" si="12"/>
        <v>Adults</v>
      </c>
      <c r="Q439" t="str">
        <f t="shared" si="13"/>
        <v>High</v>
      </c>
      <c r="R439" t="str">
        <f>IF(OR(AND(Table1[[#This Row],[Diagnosis]]="Labour Complication",Table1[[#This Row],[Gender]]="M"), AND(Table1[[#This Row],[Diagnosis]]="Labour Complication",Table1[[#This Row],[Age]]&lt;15)),"Error","OK")</f>
        <v>OK</v>
      </c>
      <c r="S439" s="4">
        <f>Table1[[#This Row],[Bill_Amount]]+Table1[[#This Row],[Surgery_Cost]]</f>
        <v>390116</v>
      </c>
    </row>
    <row r="440" spans="1:19" x14ac:dyDescent="0.35">
      <c r="A440" s="16" t="s">
        <v>483</v>
      </c>
      <c r="B440" s="17" t="s">
        <v>983</v>
      </c>
      <c r="C440" s="18">
        <v>60</v>
      </c>
      <c r="D440" s="17" t="s">
        <v>1057</v>
      </c>
      <c r="E440" s="17" t="s">
        <v>1021</v>
      </c>
      <c r="F440" s="17" t="s">
        <v>1028</v>
      </c>
      <c r="G440" s="17" t="s">
        <v>1036</v>
      </c>
      <c r="H440" s="30">
        <v>45801</v>
      </c>
      <c r="I440" s="30">
        <v>45811</v>
      </c>
      <c r="J440" s="25">
        <v>310716</v>
      </c>
      <c r="K440" s="18">
        <v>6</v>
      </c>
      <c r="L440" s="18">
        <v>4</v>
      </c>
      <c r="M440" s="18">
        <v>3</v>
      </c>
      <c r="N440" s="25">
        <v>208446</v>
      </c>
      <c r="O440" s="18">
        <v>10</v>
      </c>
      <c r="P440" t="str">
        <f t="shared" si="12"/>
        <v>Older Adults</v>
      </c>
      <c r="Q440" t="str">
        <f t="shared" si="13"/>
        <v>High</v>
      </c>
      <c r="R440" t="str">
        <f>IF(OR(AND(Table1[[#This Row],[Diagnosis]]="Labour Complication",Table1[[#This Row],[Gender]]="M"), AND(Table1[[#This Row],[Diagnosis]]="Labour Complication",Table1[[#This Row],[Age]]&lt;15)),"Error","OK")</f>
        <v>OK</v>
      </c>
      <c r="S440" s="4">
        <f>Table1[[#This Row],[Bill_Amount]]+Table1[[#This Row],[Surgery_Cost]]</f>
        <v>519162</v>
      </c>
    </row>
    <row r="441" spans="1:19" x14ac:dyDescent="0.35">
      <c r="A441" s="19" t="s">
        <v>484</v>
      </c>
      <c r="B441" s="20" t="s">
        <v>984</v>
      </c>
      <c r="C441" s="21">
        <v>27</v>
      </c>
      <c r="D441" s="20" t="s">
        <v>1058</v>
      </c>
      <c r="E441" s="20" t="s">
        <v>1022</v>
      </c>
      <c r="F441" s="20" t="s">
        <v>1029</v>
      </c>
      <c r="G441" s="20" t="s">
        <v>1041</v>
      </c>
      <c r="H441" s="29">
        <v>45770</v>
      </c>
      <c r="I441" s="29">
        <v>45785</v>
      </c>
      <c r="J441" s="24">
        <v>217894</v>
      </c>
      <c r="K441" s="21">
        <v>7</v>
      </c>
      <c r="L441" s="21">
        <v>1</v>
      </c>
      <c r="M441" s="21">
        <v>1</v>
      </c>
      <c r="N441" s="24">
        <v>0</v>
      </c>
      <c r="O441" s="21">
        <v>15</v>
      </c>
      <c r="P441" t="str">
        <f t="shared" si="12"/>
        <v>Adults</v>
      </c>
      <c r="Q441" t="str">
        <f t="shared" si="13"/>
        <v>High</v>
      </c>
      <c r="R441" t="str">
        <f>IF(OR(AND(Table1[[#This Row],[Diagnosis]]="Labour Complication",Table1[[#This Row],[Gender]]="M"), AND(Table1[[#This Row],[Diagnosis]]="Labour Complication",Table1[[#This Row],[Age]]&lt;15)),"Error","OK")</f>
        <v>OK</v>
      </c>
      <c r="S441" s="4">
        <f>Table1[[#This Row],[Bill_Amount]]+Table1[[#This Row],[Surgery_Cost]]</f>
        <v>217894</v>
      </c>
    </row>
    <row r="442" spans="1:19" x14ac:dyDescent="0.35">
      <c r="A442" s="16" t="s">
        <v>485</v>
      </c>
      <c r="B442" s="17" t="s">
        <v>985</v>
      </c>
      <c r="C442" s="18">
        <v>29</v>
      </c>
      <c r="D442" s="17" t="s">
        <v>1057</v>
      </c>
      <c r="E442" s="17" t="s">
        <v>1020</v>
      </c>
      <c r="F442" s="17" t="s">
        <v>1027</v>
      </c>
      <c r="G442" s="17" t="s">
        <v>1043</v>
      </c>
      <c r="H442" s="30">
        <v>45771</v>
      </c>
      <c r="I442" s="30">
        <v>45773</v>
      </c>
      <c r="J442" s="25">
        <v>344924</v>
      </c>
      <c r="K442" s="18">
        <v>5</v>
      </c>
      <c r="L442" s="18">
        <v>9</v>
      </c>
      <c r="M442" s="18">
        <v>3</v>
      </c>
      <c r="N442" s="25">
        <v>0</v>
      </c>
      <c r="O442" s="18">
        <v>2</v>
      </c>
      <c r="P442" t="str">
        <f t="shared" si="12"/>
        <v>Adults</v>
      </c>
      <c r="Q442" t="str">
        <f t="shared" si="13"/>
        <v>High</v>
      </c>
      <c r="R442" t="str">
        <f>IF(OR(AND(Table1[[#This Row],[Diagnosis]]="Labour Complication",Table1[[#This Row],[Gender]]="M"), AND(Table1[[#This Row],[Diagnosis]]="Labour Complication",Table1[[#This Row],[Age]]&lt;15)),"Error","OK")</f>
        <v>OK</v>
      </c>
      <c r="S442" s="4">
        <f>Table1[[#This Row],[Bill_Amount]]+Table1[[#This Row],[Surgery_Cost]]</f>
        <v>344924</v>
      </c>
    </row>
    <row r="443" spans="1:19" x14ac:dyDescent="0.35">
      <c r="A443" s="19" t="s">
        <v>486</v>
      </c>
      <c r="B443" s="20" t="s">
        <v>986</v>
      </c>
      <c r="C443" s="21">
        <v>75</v>
      </c>
      <c r="D443" s="20" t="s">
        <v>1058</v>
      </c>
      <c r="E443" s="20" t="s">
        <v>1021</v>
      </c>
      <c r="F443" s="20" t="s">
        <v>1028</v>
      </c>
      <c r="G443" s="20" t="s">
        <v>1036</v>
      </c>
      <c r="H443" s="29">
        <v>45759</v>
      </c>
      <c r="I443" s="29">
        <v>45769</v>
      </c>
      <c r="J443" s="24">
        <v>356200</v>
      </c>
      <c r="K443" s="21">
        <v>5</v>
      </c>
      <c r="L443" s="21">
        <v>13</v>
      </c>
      <c r="M443" s="21">
        <v>3</v>
      </c>
      <c r="N443" s="24">
        <v>222741</v>
      </c>
      <c r="O443" s="21">
        <v>10</v>
      </c>
      <c r="P443" t="str">
        <f t="shared" si="12"/>
        <v>Older Adults</v>
      </c>
      <c r="Q443" t="str">
        <f t="shared" si="13"/>
        <v>High</v>
      </c>
      <c r="R443" t="str">
        <f>IF(OR(AND(Table1[[#This Row],[Diagnosis]]="Labour Complication",Table1[[#This Row],[Gender]]="M"), AND(Table1[[#This Row],[Diagnosis]]="Labour Complication",Table1[[#This Row],[Age]]&lt;15)),"Error","OK")</f>
        <v>OK</v>
      </c>
      <c r="S443" s="4">
        <f>Table1[[#This Row],[Bill_Amount]]+Table1[[#This Row],[Surgery_Cost]]</f>
        <v>578941</v>
      </c>
    </row>
    <row r="444" spans="1:19" x14ac:dyDescent="0.35">
      <c r="A444" s="16" t="s">
        <v>487</v>
      </c>
      <c r="B444" s="17" t="s">
        <v>987</v>
      </c>
      <c r="C444" s="18">
        <v>30</v>
      </c>
      <c r="D444" s="17" t="s">
        <v>1058</v>
      </c>
      <c r="E444" s="17" t="s">
        <v>1017</v>
      </c>
      <c r="F444" s="17" t="s">
        <v>1024</v>
      </c>
      <c r="G444" s="17" t="s">
        <v>1042</v>
      </c>
      <c r="H444" s="30">
        <v>45762</v>
      </c>
      <c r="I444" s="30">
        <v>45767</v>
      </c>
      <c r="J444" s="25">
        <v>222944</v>
      </c>
      <c r="K444" s="18">
        <v>7</v>
      </c>
      <c r="L444" s="18">
        <v>19</v>
      </c>
      <c r="M444" s="18">
        <v>4</v>
      </c>
      <c r="N444" s="25">
        <v>0</v>
      </c>
      <c r="O444" s="18">
        <v>5</v>
      </c>
      <c r="P444" t="str">
        <f t="shared" si="12"/>
        <v>Adults</v>
      </c>
      <c r="Q444" t="str">
        <f t="shared" si="13"/>
        <v>High</v>
      </c>
      <c r="R444" t="str">
        <f>IF(OR(AND(Table1[[#This Row],[Diagnosis]]="Labour Complication",Table1[[#This Row],[Gender]]="M"), AND(Table1[[#This Row],[Diagnosis]]="Labour Complication",Table1[[#This Row],[Age]]&lt;15)),"Error","OK")</f>
        <v>OK</v>
      </c>
      <c r="S444" s="4">
        <f>Table1[[#This Row],[Bill_Amount]]+Table1[[#This Row],[Surgery_Cost]]</f>
        <v>222944</v>
      </c>
    </row>
    <row r="445" spans="1:19" x14ac:dyDescent="0.35">
      <c r="A445" s="19" t="s">
        <v>488</v>
      </c>
      <c r="B445" s="20" t="s">
        <v>988</v>
      </c>
      <c r="C445" s="21">
        <v>88</v>
      </c>
      <c r="D445" s="20" t="s">
        <v>1058</v>
      </c>
      <c r="E445" s="20" t="s">
        <v>1020</v>
      </c>
      <c r="F445" s="20" t="s">
        <v>1027</v>
      </c>
      <c r="G445" s="20" t="s">
        <v>1034</v>
      </c>
      <c r="H445" s="29">
        <v>45764</v>
      </c>
      <c r="I445" s="29">
        <v>45774</v>
      </c>
      <c r="J445" s="24">
        <v>393203</v>
      </c>
      <c r="K445" s="21">
        <v>3</v>
      </c>
      <c r="L445" s="21">
        <v>18</v>
      </c>
      <c r="M445" s="21">
        <v>3</v>
      </c>
      <c r="N445" s="24">
        <v>0</v>
      </c>
      <c r="O445" s="21">
        <v>10</v>
      </c>
      <c r="P445" t="str">
        <f t="shared" si="12"/>
        <v>Older Adults</v>
      </c>
      <c r="Q445" t="str">
        <f t="shared" si="13"/>
        <v>High</v>
      </c>
      <c r="R445" t="str">
        <f>IF(OR(AND(Table1[[#This Row],[Diagnosis]]="Labour Complication",Table1[[#This Row],[Gender]]="M"), AND(Table1[[#This Row],[Diagnosis]]="Labour Complication",Table1[[#This Row],[Age]]&lt;15)),"Error","OK")</f>
        <v>OK</v>
      </c>
      <c r="S445" s="4">
        <f>Table1[[#This Row],[Bill_Amount]]+Table1[[#This Row],[Surgery_Cost]]</f>
        <v>393203</v>
      </c>
    </row>
    <row r="446" spans="1:19" x14ac:dyDescent="0.35">
      <c r="A446" s="16" t="s">
        <v>489</v>
      </c>
      <c r="B446" s="17" t="s">
        <v>989</v>
      </c>
      <c r="C446" s="18">
        <v>83</v>
      </c>
      <c r="D446" s="17" t="s">
        <v>1058</v>
      </c>
      <c r="E446" s="17" t="s">
        <v>1022</v>
      </c>
      <c r="F446" s="17" t="s">
        <v>1029</v>
      </c>
      <c r="G446" s="17" t="s">
        <v>1041</v>
      </c>
      <c r="H446" s="30">
        <v>45790</v>
      </c>
      <c r="I446" s="30">
        <v>45805</v>
      </c>
      <c r="J446" s="25">
        <v>306178</v>
      </c>
      <c r="K446" s="18">
        <v>6</v>
      </c>
      <c r="L446" s="18">
        <v>18</v>
      </c>
      <c r="M446" s="18">
        <v>4</v>
      </c>
      <c r="N446" s="25">
        <v>0</v>
      </c>
      <c r="O446" s="18">
        <v>15</v>
      </c>
      <c r="P446" t="str">
        <f t="shared" si="12"/>
        <v>Older Adults</v>
      </c>
      <c r="Q446" t="str">
        <f t="shared" si="13"/>
        <v>High</v>
      </c>
      <c r="R446" t="str">
        <f>IF(OR(AND(Table1[[#This Row],[Diagnosis]]="Labour Complication",Table1[[#This Row],[Gender]]="M"), AND(Table1[[#This Row],[Diagnosis]]="Labour Complication",Table1[[#This Row],[Age]]&lt;15)),"Error","OK")</f>
        <v>OK</v>
      </c>
      <c r="S446" s="4">
        <f>Table1[[#This Row],[Bill_Amount]]+Table1[[#This Row],[Surgery_Cost]]</f>
        <v>306178</v>
      </c>
    </row>
    <row r="447" spans="1:19" x14ac:dyDescent="0.35">
      <c r="A447" s="19" t="s">
        <v>490</v>
      </c>
      <c r="B447" s="20" t="s">
        <v>990</v>
      </c>
      <c r="C447" s="21">
        <v>46</v>
      </c>
      <c r="D447" s="20" t="s">
        <v>1057</v>
      </c>
      <c r="E447" s="20" t="s">
        <v>1017</v>
      </c>
      <c r="F447" s="20" t="s">
        <v>1024</v>
      </c>
      <c r="G447" s="20" t="s">
        <v>1042</v>
      </c>
      <c r="H447" s="29">
        <v>45781</v>
      </c>
      <c r="I447" s="29">
        <v>45794</v>
      </c>
      <c r="J447" s="24">
        <v>466796</v>
      </c>
      <c r="K447" s="21">
        <v>1</v>
      </c>
      <c r="L447" s="21">
        <v>12</v>
      </c>
      <c r="M447" s="21">
        <v>4</v>
      </c>
      <c r="N447" s="24">
        <v>0</v>
      </c>
      <c r="O447" s="21">
        <v>13</v>
      </c>
      <c r="P447" t="str">
        <f t="shared" si="12"/>
        <v>Adults</v>
      </c>
      <c r="Q447" t="str">
        <f t="shared" si="13"/>
        <v>High</v>
      </c>
      <c r="R447" t="str">
        <f>IF(OR(AND(Table1[[#This Row],[Diagnosis]]="Labour Complication",Table1[[#This Row],[Gender]]="M"), AND(Table1[[#This Row],[Diagnosis]]="Labour Complication",Table1[[#This Row],[Age]]&lt;15)),"Error","OK")</f>
        <v>OK</v>
      </c>
      <c r="S447" s="4">
        <f>Table1[[#This Row],[Bill_Amount]]+Table1[[#This Row],[Surgery_Cost]]</f>
        <v>466796</v>
      </c>
    </row>
    <row r="448" spans="1:19" x14ac:dyDescent="0.35">
      <c r="A448" s="16" t="s">
        <v>491</v>
      </c>
      <c r="B448" s="17" t="s">
        <v>991</v>
      </c>
      <c r="C448" s="18">
        <v>24</v>
      </c>
      <c r="D448" s="17" t="s">
        <v>1057</v>
      </c>
      <c r="E448" s="17" t="s">
        <v>1016</v>
      </c>
      <c r="F448" s="17" t="s">
        <v>1023</v>
      </c>
      <c r="G448" s="17" t="s">
        <v>1030</v>
      </c>
      <c r="H448" s="30">
        <v>45762</v>
      </c>
      <c r="I448" s="30">
        <v>45772</v>
      </c>
      <c r="J448" s="25">
        <v>306018</v>
      </c>
      <c r="K448" s="18">
        <v>7</v>
      </c>
      <c r="L448" s="18">
        <v>7</v>
      </c>
      <c r="M448" s="18">
        <v>4</v>
      </c>
      <c r="N448" s="25">
        <v>0</v>
      </c>
      <c r="O448" s="18">
        <v>10</v>
      </c>
      <c r="P448" t="str">
        <f t="shared" si="12"/>
        <v>Adults</v>
      </c>
      <c r="Q448" t="str">
        <f t="shared" si="13"/>
        <v>High</v>
      </c>
      <c r="R448" t="str">
        <f>IF(OR(AND(Table1[[#This Row],[Diagnosis]]="Labour Complication",Table1[[#This Row],[Gender]]="M"), AND(Table1[[#This Row],[Diagnosis]]="Labour Complication",Table1[[#This Row],[Age]]&lt;15)),"Error","OK")</f>
        <v>OK</v>
      </c>
      <c r="S448" s="4">
        <f>Table1[[#This Row],[Bill_Amount]]+Table1[[#This Row],[Surgery_Cost]]</f>
        <v>306018</v>
      </c>
    </row>
    <row r="449" spans="1:19" x14ac:dyDescent="0.35">
      <c r="A449" s="19" t="s">
        <v>492</v>
      </c>
      <c r="B449" s="20" t="s">
        <v>992</v>
      </c>
      <c r="C449" s="21">
        <v>86</v>
      </c>
      <c r="D449" s="20" t="s">
        <v>1057</v>
      </c>
      <c r="E449" s="20" t="s">
        <v>1022</v>
      </c>
      <c r="F449" s="20" t="s">
        <v>1029</v>
      </c>
      <c r="G449" s="20" t="s">
        <v>1039</v>
      </c>
      <c r="H449" s="29">
        <v>45746</v>
      </c>
      <c r="I449" s="29">
        <v>45761</v>
      </c>
      <c r="J449" s="24">
        <v>88970</v>
      </c>
      <c r="K449" s="21">
        <v>3</v>
      </c>
      <c r="L449" s="21">
        <v>13</v>
      </c>
      <c r="M449" s="21">
        <v>2</v>
      </c>
      <c r="N449" s="24">
        <v>0</v>
      </c>
      <c r="O449" s="21">
        <v>15</v>
      </c>
      <c r="P449" t="str">
        <f t="shared" si="12"/>
        <v>Older Adults</v>
      </c>
      <c r="Q449" t="str">
        <f t="shared" si="13"/>
        <v>Low</v>
      </c>
      <c r="R449" t="str">
        <f>IF(OR(AND(Table1[[#This Row],[Diagnosis]]="Labour Complication",Table1[[#This Row],[Gender]]="M"), AND(Table1[[#This Row],[Diagnosis]]="Labour Complication",Table1[[#This Row],[Age]]&lt;15)),"Error","OK")</f>
        <v>OK</v>
      </c>
      <c r="S449" s="4">
        <f>Table1[[#This Row],[Bill_Amount]]+Table1[[#This Row],[Surgery_Cost]]</f>
        <v>88970</v>
      </c>
    </row>
    <row r="450" spans="1:19" x14ac:dyDescent="0.35">
      <c r="A450" s="16" t="s">
        <v>493</v>
      </c>
      <c r="B450" s="17" t="s">
        <v>993</v>
      </c>
      <c r="C450" s="18">
        <v>81</v>
      </c>
      <c r="D450" s="17" t="s">
        <v>1057</v>
      </c>
      <c r="E450" s="17" t="s">
        <v>1020</v>
      </c>
      <c r="F450" s="17" t="s">
        <v>1027</v>
      </c>
      <c r="G450" s="17" t="s">
        <v>1043</v>
      </c>
      <c r="H450" s="30">
        <v>45802</v>
      </c>
      <c r="I450" s="30">
        <v>45806</v>
      </c>
      <c r="J450" s="25">
        <v>491736</v>
      </c>
      <c r="K450" s="18">
        <v>9</v>
      </c>
      <c r="L450" s="18">
        <v>8</v>
      </c>
      <c r="M450" s="18">
        <v>4</v>
      </c>
      <c r="N450" s="25">
        <v>0</v>
      </c>
      <c r="O450" s="18">
        <v>4</v>
      </c>
      <c r="P450" t="str">
        <f t="shared" ref="P450:P469" si="14">IF(C450&lt;=12,"Children", IF(C450&lt;=19,"Teenagers", IF(C450&lt;60, "Adults","Older Adults")))</f>
        <v>Older Adults</v>
      </c>
      <c r="Q450" t="str">
        <f t="shared" ref="Q450:Q469" si="15">IF(J450&lt;100000,"Low", IF(J450&lt;150000,"Medium","High"))</f>
        <v>High</v>
      </c>
      <c r="R450" t="str">
        <f>IF(OR(AND(Table1[[#This Row],[Diagnosis]]="Labour Complication",Table1[[#This Row],[Gender]]="M"), AND(Table1[[#This Row],[Diagnosis]]="Labour Complication",Table1[[#This Row],[Age]]&lt;15)),"Error","OK")</f>
        <v>OK</v>
      </c>
      <c r="S450" s="4">
        <f>Table1[[#This Row],[Bill_Amount]]+Table1[[#This Row],[Surgery_Cost]]</f>
        <v>491736</v>
      </c>
    </row>
    <row r="451" spans="1:19" x14ac:dyDescent="0.35">
      <c r="A451" s="19" t="s">
        <v>494</v>
      </c>
      <c r="B451" s="20" t="s">
        <v>994</v>
      </c>
      <c r="C451" s="21">
        <v>28</v>
      </c>
      <c r="D451" s="20" t="s">
        <v>1058</v>
      </c>
      <c r="E451" s="20" t="s">
        <v>1016</v>
      </c>
      <c r="F451" s="20" t="s">
        <v>1023</v>
      </c>
      <c r="G451" s="20" t="s">
        <v>1040</v>
      </c>
      <c r="H451" s="29">
        <v>45801</v>
      </c>
      <c r="I451" s="29">
        <v>45805</v>
      </c>
      <c r="J451" s="24">
        <v>54792</v>
      </c>
      <c r="K451" s="21">
        <v>6</v>
      </c>
      <c r="L451" s="21">
        <v>10</v>
      </c>
      <c r="M451" s="21">
        <v>3</v>
      </c>
      <c r="N451" s="24">
        <v>0</v>
      </c>
      <c r="O451" s="21">
        <v>4</v>
      </c>
      <c r="P451" t="str">
        <f t="shared" si="14"/>
        <v>Adults</v>
      </c>
      <c r="Q451" t="str">
        <f t="shared" si="15"/>
        <v>Low</v>
      </c>
      <c r="R451" t="str">
        <f>IF(OR(AND(Table1[[#This Row],[Diagnosis]]="Labour Complication",Table1[[#This Row],[Gender]]="M"), AND(Table1[[#This Row],[Diagnosis]]="Labour Complication",Table1[[#This Row],[Age]]&lt;15)),"Error","OK")</f>
        <v>OK</v>
      </c>
      <c r="S451" s="4">
        <f>Table1[[#This Row],[Bill_Amount]]+Table1[[#This Row],[Surgery_Cost]]</f>
        <v>54792</v>
      </c>
    </row>
    <row r="452" spans="1:19" x14ac:dyDescent="0.35">
      <c r="A452" s="16" t="s">
        <v>495</v>
      </c>
      <c r="B452" s="17" t="s">
        <v>995</v>
      </c>
      <c r="C452" s="18">
        <v>86</v>
      </c>
      <c r="D452" s="17" t="s">
        <v>1058</v>
      </c>
      <c r="E452" s="17" t="s">
        <v>1018</v>
      </c>
      <c r="F452" s="17" t="s">
        <v>1025</v>
      </c>
      <c r="G452" s="17" t="s">
        <v>1032</v>
      </c>
      <c r="H452" s="30">
        <v>45770</v>
      </c>
      <c r="I452" s="30">
        <v>45781</v>
      </c>
      <c r="J452" s="25">
        <v>384353</v>
      </c>
      <c r="K452" s="18">
        <v>8</v>
      </c>
      <c r="L452" s="18">
        <v>12</v>
      </c>
      <c r="M452" s="18">
        <v>2</v>
      </c>
      <c r="N452" s="25">
        <v>0</v>
      </c>
      <c r="O452" s="18">
        <v>11</v>
      </c>
      <c r="P452" t="str">
        <f t="shared" si="14"/>
        <v>Older Adults</v>
      </c>
      <c r="Q452" t="str">
        <f t="shared" si="15"/>
        <v>High</v>
      </c>
      <c r="R452" t="str">
        <f>IF(OR(AND(Table1[[#This Row],[Diagnosis]]="Labour Complication",Table1[[#This Row],[Gender]]="M"), AND(Table1[[#This Row],[Diagnosis]]="Labour Complication",Table1[[#This Row],[Age]]&lt;15)),"Error","OK")</f>
        <v>OK</v>
      </c>
      <c r="S452" s="4">
        <f>Table1[[#This Row],[Bill_Amount]]+Table1[[#This Row],[Surgery_Cost]]</f>
        <v>384353</v>
      </c>
    </row>
    <row r="453" spans="1:19" x14ac:dyDescent="0.35">
      <c r="A453" s="19" t="s">
        <v>496</v>
      </c>
      <c r="B453" s="20" t="s">
        <v>996</v>
      </c>
      <c r="C453" s="21">
        <v>69</v>
      </c>
      <c r="D453" s="20" t="s">
        <v>1058</v>
      </c>
      <c r="E453" s="20" t="s">
        <v>1020</v>
      </c>
      <c r="F453" s="20" t="s">
        <v>1027</v>
      </c>
      <c r="G453" s="20" t="s">
        <v>1043</v>
      </c>
      <c r="H453" s="29">
        <v>45790</v>
      </c>
      <c r="I453" s="29">
        <v>45792</v>
      </c>
      <c r="J453" s="24">
        <v>53466</v>
      </c>
      <c r="K453" s="21">
        <v>8</v>
      </c>
      <c r="L453" s="21">
        <v>5</v>
      </c>
      <c r="M453" s="21">
        <v>4</v>
      </c>
      <c r="N453" s="24">
        <v>0</v>
      </c>
      <c r="O453" s="21">
        <v>2</v>
      </c>
      <c r="P453" t="str">
        <f t="shared" si="14"/>
        <v>Older Adults</v>
      </c>
      <c r="Q453" t="str">
        <f t="shared" si="15"/>
        <v>Low</v>
      </c>
      <c r="R453" t="str">
        <f>IF(OR(AND(Table1[[#This Row],[Diagnosis]]="Labour Complication",Table1[[#This Row],[Gender]]="M"), AND(Table1[[#This Row],[Diagnosis]]="Labour Complication",Table1[[#This Row],[Age]]&lt;15)),"Error","OK")</f>
        <v>OK</v>
      </c>
      <c r="S453" s="4">
        <f>Table1[[#This Row],[Bill_Amount]]+Table1[[#This Row],[Surgery_Cost]]</f>
        <v>53466</v>
      </c>
    </row>
    <row r="454" spans="1:19" x14ac:dyDescent="0.35">
      <c r="A454" s="16" t="s">
        <v>497</v>
      </c>
      <c r="B454" s="17" t="s">
        <v>997</v>
      </c>
      <c r="C454" s="18">
        <v>36</v>
      </c>
      <c r="D454" s="17" t="s">
        <v>1058</v>
      </c>
      <c r="E454" s="17" t="s">
        <v>1018</v>
      </c>
      <c r="F454" s="17" t="s">
        <v>1025</v>
      </c>
      <c r="G454" s="17" t="s">
        <v>1044</v>
      </c>
      <c r="H454" s="30">
        <v>45769</v>
      </c>
      <c r="I454" s="30">
        <v>45779</v>
      </c>
      <c r="J454" s="25">
        <v>428636</v>
      </c>
      <c r="K454" s="18">
        <v>3</v>
      </c>
      <c r="L454" s="18">
        <v>1</v>
      </c>
      <c r="M454" s="18">
        <v>2</v>
      </c>
      <c r="N454" s="25">
        <v>0</v>
      </c>
      <c r="O454" s="18">
        <v>10</v>
      </c>
      <c r="P454" t="str">
        <f t="shared" si="14"/>
        <v>Adults</v>
      </c>
      <c r="Q454" t="str">
        <f t="shared" si="15"/>
        <v>High</v>
      </c>
      <c r="R454" t="str">
        <f>IF(OR(AND(Table1[[#This Row],[Diagnosis]]="Labour Complication",Table1[[#This Row],[Gender]]="M"), AND(Table1[[#This Row],[Diagnosis]]="Labour Complication",Table1[[#This Row],[Age]]&lt;15)),"Error","OK")</f>
        <v>OK</v>
      </c>
      <c r="S454" s="4">
        <f>Table1[[#This Row],[Bill_Amount]]+Table1[[#This Row],[Surgery_Cost]]</f>
        <v>428636</v>
      </c>
    </row>
    <row r="455" spans="1:19" x14ac:dyDescent="0.35">
      <c r="A455" s="19" t="s">
        <v>498</v>
      </c>
      <c r="B455" s="20" t="s">
        <v>998</v>
      </c>
      <c r="C455" s="21">
        <v>87</v>
      </c>
      <c r="D455" s="20" t="s">
        <v>1058</v>
      </c>
      <c r="E455" s="20" t="s">
        <v>1019</v>
      </c>
      <c r="F455" s="20" t="s">
        <v>1026</v>
      </c>
      <c r="G455" s="20" t="s">
        <v>1033</v>
      </c>
      <c r="H455" s="29">
        <v>45790</v>
      </c>
      <c r="I455" s="29">
        <v>45805</v>
      </c>
      <c r="J455" s="24">
        <v>415879</v>
      </c>
      <c r="K455" s="21">
        <v>8</v>
      </c>
      <c r="L455" s="21">
        <v>5</v>
      </c>
      <c r="M455" s="21">
        <v>2</v>
      </c>
      <c r="N455" s="24">
        <v>0</v>
      </c>
      <c r="O455" s="21">
        <v>15</v>
      </c>
      <c r="P455" t="str">
        <f t="shared" si="14"/>
        <v>Older Adults</v>
      </c>
      <c r="Q455" t="str">
        <f t="shared" si="15"/>
        <v>High</v>
      </c>
      <c r="R455" t="str">
        <f>IF(OR(AND(Table1[[#This Row],[Diagnosis]]="Labour Complication",Table1[[#This Row],[Gender]]="M"), AND(Table1[[#This Row],[Diagnosis]]="Labour Complication",Table1[[#This Row],[Age]]&lt;15)),"Error","OK")</f>
        <v>OK</v>
      </c>
      <c r="S455" s="4">
        <f>Table1[[#This Row],[Bill_Amount]]+Table1[[#This Row],[Surgery_Cost]]</f>
        <v>415879</v>
      </c>
    </row>
    <row r="456" spans="1:19" x14ac:dyDescent="0.35">
      <c r="A456" s="16" t="s">
        <v>499</v>
      </c>
      <c r="B456" s="17" t="s">
        <v>999</v>
      </c>
      <c r="C456" s="18">
        <v>20</v>
      </c>
      <c r="D456" s="17" t="s">
        <v>1057</v>
      </c>
      <c r="E456" s="17" t="s">
        <v>1018</v>
      </c>
      <c r="F456" s="17" t="s">
        <v>1025</v>
      </c>
      <c r="G456" s="17" t="s">
        <v>1044</v>
      </c>
      <c r="H456" s="30">
        <v>45770</v>
      </c>
      <c r="I456" s="30">
        <v>45773</v>
      </c>
      <c r="J456" s="25">
        <v>324928</v>
      </c>
      <c r="K456" s="18">
        <v>4</v>
      </c>
      <c r="L456" s="18">
        <v>5</v>
      </c>
      <c r="M456" s="18">
        <v>2</v>
      </c>
      <c r="N456" s="25">
        <v>0</v>
      </c>
      <c r="O456" s="18">
        <v>3</v>
      </c>
      <c r="P456" t="str">
        <f t="shared" si="14"/>
        <v>Adults</v>
      </c>
      <c r="Q456" t="str">
        <f t="shared" si="15"/>
        <v>High</v>
      </c>
      <c r="R456" t="str">
        <f>IF(OR(AND(Table1[[#This Row],[Diagnosis]]="Labour Complication",Table1[[#This Row],[Gender]]="M"), AND(Table1[[#This Row],[Diagnosis]]="Labour Complication",Table1[[#This Row],[Age]]&lt;15)),"Error","OK")</f>
        <v>OK</v>
      </c>
      <c r="S456" s="4">
        <f>Table1[[#This Row],[Bill_Amount]]+Table1[[#This Row],[Surgery_Cost]]</f>
        <v>324928</v>
      </c>
    </row>
    <row r="457" spans="1:19" x14ac:dyDescent="0.35">
      <c r="A457" s="19" t="s">
        <v>500</v>
      </c>
      <c r="B457" s="20" t="s">
        <v>1000</v>
      </c>
      <c r="C457" s="21">
        <v>46</v>
      </c>
      <c r="D457" s="20" t="s">
        <v>1058</v>
      </c>
      <c r="E457" s="20" t="s">
        <v>1019</v>
      </c>
      <c r="F457" s="20" t="s">
        <v>1026</v>
      </c>
      <c r="G457" s="20" t="s">
        <v>1038</v>
      </c>
      <c r="H457" s="29">
        <v>45783</v>
      </c>
      <c r="I457" s="29">
        <v>45793</v>
      </c>
      <c r="J457" s="24">
        <v>182339</v>
      </c>
      <c r="K457" s="21">
        <v>5</v>
      </c>
      <c r="L457" s="21">
        <v>15</v>
      </c>
      <c r="M457" s="21">
        <v>3</v>
      </c>
      <c r="N457" s="24">
        <v>0</v>
      </c>
      <c r="O457" s="21">
        <v>10</v>
      </c>
      <c r="P457" t="str">
        <f t="shared" si="14"/>
        <v>Adults</v>
      </c>
      <c r="Q457" t="str">
        <f t="shared" si="15"/>
        <v>High</v>
      </c>
      <c r="R457" t="str">
        <f>IF(OR(AND(Table1[[#This Row],[Diagnosis]]="Labour Complication",Table1[[#This Row],[Gender]]="M"), AND(Table1[[#This Row],[Diagnosis]]="Labour Complication",Table1[[#This Row],[Age]]&lt;15)),"Error","OK")</f>
        <v>OK</v>
      </c>
      <c r="S457" s="4">
        <f>Table1[[#This Row],[Bill_Amount]]+Table1[[#This Row],[Surgery_Cost]]</f>
        <v>182339</v>
      </c>
    </row>
    <row r="458" spans="1:19" x14ac:dyDescent="0.35">
      <c r="A458" s="16" t="s">
        <v>501</v>
      </c>
      <c r="B458" s="17" t="s">
        <v>1001</v>
      </c>
      <c r="C458" s="18">
        <v>59</v>
      </c>
      <c r="D458" s="17" t="s">
        <v>1057</v>
      </c>
      <c r="E458" s="17" t="s">
        <v>1018</v>
      </c>
      <c r="F458" s="17" t="s">
        <v>1025</v>
      </c>
      <c r="G458" s="17" t="s">
        <v>1032</v>
      </c>
      <c r="H458" s="30">
        <v>45781</v>
      </c>
      <c r="I458" s="30">
        <v>45788</v>
      </c>
      <c r="J458" s="25">
        <v>262875</v>
      </c>
      <c r="K458" s="18">
        <v>8</v>
      </c>
      <c r="L458" s="18">
        <v>5</v>
      </c>
      <c r="M458" s="18">
        <v>3</v>
      </c>
      <c r="N458" s="25">
        <v>0</v>
      </c>
      <c r="O458" s="18">
        <v>7</v>
      </c>
      <c r="P458" t="str">
        <f t="shared" si="14"/>
        <v>Adults</v>
      </c>
      <c r="Q458" t="str">
        <f t="shared" si="15"/>
        <v>High</v>
      </c>
      <c r="R458" t="str">
        <f>IF(OR(AND(Table1[[#This Row],[Diagnosis]]="Labour Complication",Table1[[#This Row],[Gender]]="M"), AND(Table1[[#This Row],[Diagnosis]]="Labour Complication",Table1[[#This Row],[Age]]&lt;15)),"Error","OK")</f>
        <v>OK</v>
      </c>
      <c r="S458" s="4">
        <f>Table1[[#This Row],[Bill_Amount]]+Table1[[#This Row],[Surgery_Cost]]</f>
        <v>262875</v>
      </c>
    </row>
    <row r="459" spans="1:19" x14ac:dyDescent="0.35">
      <c r="A459" s="19" t="s">
        <v>502</v>
      </c>
      <c r="B459" s="20" t="s">
        <v>1002</v>
      </c>
      <c r="C459" s="21">
        <v>11</v>
      </c>
      <c r="D459" s="20" t="s">
        <v>1057</v>
      </c>
      <c r="E459" s="20" t="s">
        <v>1017</v>
      </c>
      <c r="F459" s="20" t="s">
        <v>1024</v>
      </c>
      <c r="G459" s="20" t="s">
        <v>1042</v>
      </c>
      <c r="H459" s="29">
        <v>45752</v>
      </c>
      <c r="I459" s="29">
        <v>45758</v>
      </c>
      <c r="J459" s="24">
        <v>408634</v>
      </c>
      <c r="K459" s="21">
        <v>3</v>
      </c>
      <c r="L459" s="21">
        <v>7</v>
      </c>
      <c r="M459" s="21">
        <v>4</v>
      </c>
      <c r="N459" s="24">
        <v>0</v>
      </c>
      <c r="O459" s="21">
        <v>6</v>
      </c>
      <c r="P459" t="str">
        <f t="shared" si="14"/>
        <v>Children</v>
      </c>
      <c r="Q459" t="str">
        <f t="shared" si="15"/>
        <v>High</v>
      </c>
      <c r="R459" t="str">
        <f>IF(OR(AND(Table1[[#This Row],[Diagnosis]]="Labour Complication",Table1[[#This Row],[Gender]]="M"), AND(Table1[[#This Row],[Diagnosis]]="Labour Complication",Table1[[#This Row],[Age]]&lt;15)),"Error","OK")</f>
        <v>OK</v>
      </c>
      <c r="S459" s="4">
        <f>Table1[[#This Row],[Bill_Amount]]+Table1[[#This Row],[Surgery_Cost]]</f>
        <v>408634</v>
      </c>
    </row>
    <row r="460" spans="1:19" x14ac:dyDescent="0.35">
      <c r="A460" s="16" t="s">
        <v>503</v>
      </c>
      <c r="B460" s="17" t="s">
        <v>1003</v>
      </c>
      <c r="C460" s="18">
        <v>71</v>
      </c>
      <c r="D460" s="17" t="s">
        <v>1058</v>
      </c>
      <c r="E460" s="17" t="s">
        <v>1020</v>
      </c>
      <c r="F460" s="17" t="s">
        <v>1027</v>
      </c>
      <c r="G460" s="17" t="s">
        <v>1043</v>
      </c>
      <c r="H460" s="30">
        <v>45795</v>
      </c>
      <c r="I460" s="30">
        <v>45803</v>
      </c>
      <c r="J460" s="25">
        <v>247745</v>
      </c>
      <c r="K460" s="18">
        <v>6</v>
      </c>
      <c r="L460" s="18">
        <v>10</v>
      </c>
      <c r="M460" s="18">
        <v>4</v>
      </c>
      <c r="N460" s="25">
        <v>0</v>
      </c>
      <c r="O460" s="18">
        <v>8</v>
      </c>
      <c r="P460" t="str">
        <f t="shared" si="14"/>
        <v>Older Adults</v>
      </c>
      <c r="Q460" t="str">
        <f t="shared" si="15"/>
        <v>High</v>
      </c>
      <c r="R460" t="str">
        <f>IF(OR(AND(Table1[[#This Row],[Diagnosis]]="Labour Complication",Table1[[#This Row],[Gender]]="M"), AND(Table1[[#This Row],[Diagnosis]]="Labour Complication",Table1[[#This Row],[Age]]&lt;15)),"Error","OK")</f>
        <v>OK</v>
      </c>
      <c r="S460" s="4">
        <f>Table1[[#This Row],[Bill_Amount]]+Table1[[#This Row],[Surgery_Cost]]</f>
        <v>247745</v>
      </c>
    </row>
    <row r="461" spans="1:19" x14ac:dyDescent="0.35">
      <c r="A461" s="19" t="s">
        <v>504</v>
      </c>
      <c r="B461" s="20" t="s">
        <v>1004</v>
      </c>
      <c r="C461" s="21">
        <v>22</v>
      </c>
      <c r="D461" s="20" t="s">
        <v>1057</v>
      </c>
      <c r="E461" s="20" t="s">
        <v>1016</v>
      </c>
      <c r="F461" s="20" t="s">
        <v>1023</v>
      </c>
      <c r="G461" s="20" t="s">
        <v>1040</v>
      </c>
      <c r="H461" s="29">
        <v>45772</v>
      </c>
      <c r="I461" s="29">
        <v>45774</v>
      </c>
      <c r="J461" s="24">
        <v>418493</v>
      </c>
      <c r="K461" s="21">
        <v>1</v>
      </c>
      <c r="L461" s="21">
        <v>4</v>
      </c>
      <c r="M461" s="21">
        <v>3</v>
      </c>
      <c r="N461" s="24">
        <v>0</v>
      </c>
      <c r="O461" s="21">
        <v>2</v>
      </c>
      <c r="P461" t="str">
        <f t="shared" si="14"/>
        <v>Adults</v>
      </c>
      <c r="Q461" t="str">
        <f t="shared" si="15"/>
        <v>High</v>
      </c>
      <c r="R461" t="str">
        <f>IF(OR(AND(Table1[[#This Row],[Diagnosis]]="Labour Complication",Table1[[#This Row],[Gender]]="M"), AND(Table1[[#This Row],[Diagnosis]]="Labour Complication",Table1[[#This Row],[Age]]&lt;15)),"Error","OK")</f>
        <v>OK</v>
      </c>
      <c r="S461" s="4">
        <f>Table1[[#This Row],[Bill_Amount]]+Table1[[#This Row],[Surgery_Cost]]</f>
        <v>418493</v>
      </c>
    </row>
    <row r="462" spans="1:19" x14ac:dyDescent="0.35">
      <c r="A462" s="16" t="s">
        <v>505</v>
      </c>
      <c r="B462" s="17" t="s">
        <v>1005</v>
      </c>
      <c r="C462" s="18">
        <v>43</v>
      </c>
      <c r="D462" s="17" t="s">
        <v>1057</v>
      </c>
      <c r="E462" s="17" t="s">
        <v>1022</v>
      </c>
      <c r="F462" s="17" t="s">
        <v>1029</v>
      </c>
      <c r="G462" s="17" t="s">
        <v>1039</v>
      </c>
      <c r="H462" s="30">
        <v>45795</v>
      </c>
      <c r="I462" s="30">
        <v>45803</v>
      </c>
      <c r="J462" s="25">
        <v>388117</v>
      </c>
      <c r="K462" s="18">
        <v>6</v>
      </c>
      <c r="L462" s="18">
        <v>6</v>
      </c>
      <c r="M462" s="18">
        <v>1</v>
      </c>
      <c r="N462" s="25">
        <v>0</v>
      </c>
      <c r="O462" s="18">
        <v>8</v>
      </c>
      <c r="P462" t="str">
        <f t="shared" si="14"/>
        <v>Adults</v>
      </c>
      <c r="Q462" t="str">
        <f t="shared" si="15"/>
        <v>High</v>
      </c>
      <c r="R462" t="str">
        <f>IF(OR(AND(Table1[[#This Row],[Diagnosis]]="Labour Complication",Table1[[#This Row],[Gender]]="M"), AND(Table1[[#This Row],[Diagnosis]]="Labour Complication",Table1[[#This Row],[Age]]&lt;15)),"Error","OK")</f>
        <v>OK</v>
      </c>
      <c r="S462" s="4">
        <f>Table1[[#This Row],[Bill_Amount]]+Table1[[#This Row],[Surgery_Cost]]</f>
        <v>388117</v>
      </c>
    </row>
    <row r="463" spans="1:19" x14ac:dyDescent="0.35">
      <c r="A463" s="16" t="s">
        <v>507</v>
      </c>
      <c r="B463" s="17" t="s">
        <v>1007</v>
      </c>
      <c r="C463" s="18">
        <v>36</v>
      </c>
      <c r="D463" s="17" t="s">
        <v>1057</v>
      </c>
      <c r="E463" s="17" t="s">
        <v>1018</v>
      </c>
      <c r="F463" s="17" t="s">
        <v>1025</v>
      </c>
      <c r="G463" s="17" t="s">
        <v>1044</v>
      </c>
      <c r="H463" s="30">
        <v>45750</v>
      </c>
      <c r="I463" s="30">
        <v>45753</v>
      </c>
      <c r="J463" s="25">
        <v>408837</v>
      </c>
      <c r="K463" s="18">
        <v>2</v>
      </c>
      <c r="L463" s="18">
        <v>5</v>
      </c>
      <c r="M463" s="18">
        <v>3</v>
      </c>
      <c r="N463" s="25">
        <v>0</v>
      </c>
      <c r="O463" s="18">
        <v>3</v>
      </c>
      <c r="P463" t="str">
        <f t="shared" si="14"/>
        <v>Adults</v>
      </c>
      <c r="Q463" t="str">
        <f t="shared" si="15"/>
        <v>High</v>
      </c>
      <c r="R463" t="str">
        <f>IF(OR(AND(Table1[[#This Row],[Diagnosis]]="Labour Complication",Table1[[#This Row],[Gender]]="M"), AND(Table1[[#This Row],[Diagnosis]]="Labour Complication",Table1[[#This Row],[Age]]&lt;15)),"Error","OK")</f>
        <v>OK</v>
      </c>
      <c r="S463" s="4">
        <f>Table1[[#This Row],[Bill_Amount]]+Table1[[#This Row],[Surgery_Cost]]</f>
        <v>408837</v>
      </c>
    </row>
    <row r="464" spans="1:19" x14ac:dyDescent="0.35">
      <c r="A464" s="19" t="s">
        <v>508</v>
      </c>
      <c r="B464" s="20" t="s">
        <v>1008</v>
      </c>
      <c r="C464" s="21">
        <v>27</v>
      </c>
      <c r="D464" s="20" t="s">
        <v>1057</v>
      </c>
      <c r="E464" s="20" t="s">
        <v>1022</v>
      </c>
      <c r="F464" s="20" t="s">
        <v>1029</v>
      </c>
      <c r="G464" s="20" t="s">
        <v>1041</v>
      </c>
      <c r="H464" s="29">
        <v>45785</v>
      </c>
      <c r="I464" s="29">
        <v>45792</v>
      </c>
      <c r="J464" s="24">
        <v>58209</v>
      </c>
      <c r="K464" s="21">
        <v>9</v>
      </c>
      <c r="L464" s="21">
        <v>9</v>
      </c>
      <c r="M464" s="21">
        <v>1</v>
      </c>
      <c r="N464" s="24">
        <v>0</v>
      </c>
      <c r="O464" s="21">
        <v>7</v>
      </c>
      <c r="P464" t="str">
        <f t="shared" si="14"/>
        <v>Adults</v>
      </c>
      <c r="Q464" t="str">
        <f t="shared" si="15"/>
        <v>Low</v>
      </c>
      <c r="R464" t="str">
        <f>IF(OR(AND(Table1[[#This Row],[Diagnosis]]="Labour Complication",Table1[[#This Row],[Gender]]="M"), AND(Table1[[#This Row],[Diagnosis]]="Labour Complication",Table1[[#This Row],[Age]]&lt;15)),"Error","OK")</f>
        <v>OK</v>
      </c>
      <c r="S464" s="4">
        <f>Table1[[#This Row],[Bill_Amount]]+Table1[[#This Row],[Surgery_Cost]]</f>
        <v>58209</v>
      </c>
    </row>
    <row r="465" spans="1:19" x14ac:dyDescent="0.35">
      <c r="A465" s="16" t="s">
        <v>509</v>
      </c>
      <c r="B465" s="17" t="s">
        <v>1009</v>
      </c>
      <c r="C465" s="18">
        <v>73</v>
      </c>
      <c r="D465" s="17" t="s">
        <v>1057</v>
      </c>
      <c r="E465" s="17" t="s">
        <v>1018</v>
      </c>
      <c r="F465" s="17" t="s">
        <v>1025</v>
      </c>
      <c r="G465" s="17" t="s">
        <v>1032</v>
      </c>
      <c r="H465" s="30">
        <v>45789</v>
      </c>
      <c r="I465" s="30">
        <v>45795</v>
      </c>
      <c r="J465" s="25">
        <v>135170</v>
      </c>
      <c r="K465" s="18">
        <v>7</v>
      </c>
      <c r="L465" s="18">
        <v>18</v>
      </c>
      <c r="M465" s="18">
        <v>1</v>
      </c>
      <c r="N465" s="25">
        <v>0</v>
      </c>
      <c r="O465" s="18">
        <v>6</v>
      </c>
      <c r="P465" t="str">
        <f t="shared" si="14"/>
        <v>Older Adults</v>
      </c>
      <c r="Q465" t="str">
        <f t="shared" si="15"/>
        <v>Medium</v>
      </c>
      <c r="R465" t="str">
        <f>IF(OR(AND(Table1[[#This Row],[Diagnosis]]="Labour Complication",Table1[[#This Row],[Gender]]="M"), AND(Table1[[#This Row],[Diagnosis]]="Labour Complication",Table1[[#This Row],[Age]]&lt;15)),"Error","OK")</f>
        <v>OK</v>
      </c>
      <c r="S465" s="4">
        <f>Table1[[#This Row],[Bill_Amount]]+Table1[[#This Row],[Surgery_Cost]]</f>
        <v>135170</v>
      </c>
    </row>
    <row r="466" spans="1:19" x14ac:dyDescent="0.35">
      <c r="A466" s="19" t="s">
        <v>510</v>
      </c>
      <c r="B466" s="20" t="s">
        <v>1010</v>
      </c>
      <c r="C466" s="21">
        <v>87</v>
      </c>
      <c r="D466" s="20" t="s">
        <v>1058</v>
      </c>
      <c r="E466" s="20" t="s">
        <v>1022</v>
      </c>
      <c r="F466" s="20" t="s">
        <v>1029</v>
      </c>
      <c r="G466" s="20" t="s">
        <v>1041</v>
      </c>
      <c r="H466" s="29">
        <v>45751</v>
      </c>
      <c r="I466" s="29">
        <v>45766</v>
      </c>
      <c r="J466" s="24">
        <v>254030</v>
      </c>
      <c r="K466" s="21">
        <v>3</v>
      </c>
      <c r="L466" s="21">
        <v>6</v>
      </c>
      <c r="M466" s="21">
        <v>2</v>
      </c>
      <c r="N466" s="24">
        <v>0</v>
      </c>
      <c r="O466" s="21">
        <v>15</v>
      </c>
      <c r="P466" t="str">
        <f t="shared" si="14"/>
        <v>Older Adults</v>
      </c>
      <c r="Q466" t="str">
        <f t="shared" si="15"/>
        <v>High</v>
      </c>
      <c r="R466" t="str">
        <f>IF(OR(AND(Table1[[#This Row],[Diagnosis]]="Labour Complication",Table1[[#This Row],[Gender]]="M"), AND(Table1[[#This Row],[Diagnosis]]="Labour Complication",Table1[[#This Row],[Age]]&lt;15)),"Error","OK")</f>
        <v>OK</v>
      </c>
      <c r="S466" s="4">
        <f>Table1[[#This Row],[Bill_Amount]]+Table1[[#This Row],[Surgery_Cost]]</f>
        <v>254030</v>
      </c>
    </row>
    <row r="467" spans="1:19" x14ac:dyDescent="0.35">
      <c r="A467" s="16" t="s">
        <v>511</v>
      </c>
      <c r="B467" s="17" t="s">
        <v>1011</v>
      </c>
      <c r="C467" s="18">
        <v>89</v>
      </c>
      <c r="D467" s="17" t="s">
        <v>1057</v>
      </c>
      <c r="E467" s="17" t="s">
        <v>1022</v>
      </c>
      <c r="F467" s="17" t="s">
        <v>1029</v>
      </c>
      <c r="G467" s="17" t="s">
        <v>1041</v>
      </c>
      <c r="H467" s="30">
        <v>45802</v>
      </c>
      <c r="I467" s="30">
        <v>45815</v>
      </c>
      <c r="J467" s="25">
        <v>123374</v>
      </c>
      <c r="K467" s="18">
        <v>3</v>
      </c>
      <c r="L467" s="18">
        <v>2</v>
      </c>
      <c r="M467" s="18">
        <v>1</v>
      </c>
      <c r="N467" s="25">
        <v>0</v>
      </c>
      <c r="O467" s="18">
        <v>13</v>
      </c>
      <c r="P467" t="str">
        <f t="shared" si="14"/>
        <v>Older Adults</v>
      </c>
      <c r="Q467" t="str">
        <f t="shared" si="15"/>
        <v>Medium</v>
      </c>
      <c r="R467" t="str">
        <f>IF(OR(AND(Table1[[#This Row],[Diagnosis]]="Labour Complication",Table1[[#This Row],[Gender]]="M"), AND(Table1[[#This Row],[Diagnosis]]="Labour Complication",Table1[[#This Row],[Age]]&lt;15)),"Error","OK")</f>
        <v>OK</v>
      </c>
      <c r="S467" s="4">
        <f>Table1[[#This Row],[Bill_Amount]]+Table1[[#This Row],[Surgery_Cost]]</f>
        <v>123374</v>
      </c>
    </row>
    <row r="468" spans="1:19" x14ac:dyDescent="0.35">
      <c r="A468" s="19" t="s">
        <v>512</v>
      </c>
      <c r="B468" s="20" t="s">
        <v>1012</v>
      </c>
      <c r="C468" s="21">
        <v>30</v>
      </c>
      <c r="D468" s="20" t="s">
        <v>1057</v>
      </c>
      <c r="E468" s="20" t="s">
        <v>1018</v>
      </c>
      <c r="F468" s="20" t="s">
        <v>1025</v>
      </c>
      <c r="G468" s="20" t="s">
        <v>1037</v>
      </c>
      <c r="H468" s="29">
        <v>45796</v>
      </c>
      <c r="I468" s="29">
        <v>45799</v>
      </c>
      <c r="J468" s="24">
        <v>279160</v>
      </c>
      <c r="K468" s="21">
        <v>7</v>
      </c>
      <c r="L468" s="21">
        <v>15</v>
      </c>
      <c r="M468" s="21">
        <v>2</v>
      </c>
      <c r="N468" s="24">
        <v>0</v>
      </c>
      <c r="O468" s="21">
        <v>3</v>
      </c>
      <c r="P468" t="str">
        <f t="shared" si="14"/>
        <v>Adults</v>
      </c>
      <c r="Q468" t="str">
        <f t="shared" si="15"/>
        <v>High</v>
      </c>
      <c r="R468" t="str">
        <f>IF(OR(AND(Table1[[#This Row],[Diagnosis]]="Labour Complication",Table1[[#This Row],[Gender]]="M"), AND(Table1[[#This Row],[Diagnosis]]="Labour Complication",Table1[[#This Row],[Age]]&lt;15)),"Error","OK")</f>
        <v>OK</v>
      </c>
      <c r="S468" s="4">
        <f>Table1[[#This Row],[Bill_Amount]]+Table1[[#This Row],[Surgery_Cost]]</f>
        <v>279160</v>
      </c>
    </row>
    <row r="469" spans="1:19" x14ac:dyDescent="0.35">
      <c r="A469" s="16" t="s">
        <v>513</v>
      </c>
      <c r="B469" s="17" t="s">
        <v>1013</v>
      </c>
      <c r="C469" s="18">
        <v>77</v>
      </c>
      <c r="D469" s="17" t="s">
        <v>1058</v>
      </c>
      <c r="E469" s="17" t="s">
        <v>1019</v>
      </c>
      <c r="F469" s="17" t="s">
        <v>1026</v>
      </c>
      <c r="G469" s="17" t="s">
        <v>1038</v>
      </c>
      <c r="H469" s="30">
        <v>45751</v>
      </c>
      <c r="I469" s="30">
        <v>45765</v>
      </c>
      <c r="J469" s="25">
        <v>371842</v>
      </c>
      <c r="K469" s="18">
        <v>1</v>
      </c>
      <c r="L469" s="18">
        <v>9</v>
      </c>
      <c r="M469" s="18">
        <v>4</v>
      </c>
      <c r="N469" s="25">
        <v>0</v>
      </c>
      <c r="O469" s="18">
        <v>14</v>
      </c>
      <c r="P469" t="str">
        <f t="shared" si="14"/>
        <v>Older Adults</v>
      </c>
      <c r="Q469" t="str">
        <f t="shared" si="15"/>
        <v>High</v>
      </c>
      <c r="R469" t="str">
        <f>IF(OR(AND(Table1[[#This Row],[Diagnosis]]="Labour Complication",Table1[[#This Row],[Gender]]="M"), AND(Table1[[#This Row],[Diagnosis]]="Labour Complication",Table1[[#This Row],[Age]]&lt;15)),"Error","OK")</f>
        <v>OK</v>
      </c>
      <c r="S469" s="4">
        <f>Table1[[#This Row],[Bill_Amount]]+Table1[[#This Row],[Surgery_Cost]]</f>
        <v>371842</v>
      </c>
    </row>
  </sheetData>
  <sortState ref="A2:N469">
    <sortCondition ref="A1:A469"/>
  </sortState>
  <conditionalFormatting sqref="A1:A1048576">
    <cfRule type="duplicateValues" dxfId="20" priority="1"/>
    <cfRule type="duplicateValues" dxfId="19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Views>
    <sheetView topLeftCell="A209" workbookViewId="0"/>
  </sheetViews>
  <sheetFormatPr defaultRowHeight="14.5" x14ac:dyDescent="0.35"/>
  <cols>
    <col min="8" max="8" width="15.54296875" bestFit="1" customWidth="1"/>
    <col min="9" max="9" width="14.81640625" bestFit="1" customWidth="1"/>
    <col min="14" max="14" width="16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514</v>
      </c>
      <c r="C2">
        <v>36</v>
      </c>
      <c r="D2" t="s">
        <v>1014</v>
      </c>
      <c r="E2" t="s">
        <v>1016</v>
      </c>
      <c r="F2" t="s">
        <v>1023</v>
      </c>
      <c r="G2" t="s">
        <v>1030</v>
      </c>
      <c r="H2" s="2">
        <v>45760</v>
      </c>
      <c r="I2" s="2">
        <v>45763</v>
      </c>
      <c r="J2">
        <v>63112</v>
      </c>
      <c r="K2">
        <v>8</v>
      </c>
      <c r="L2">
        <v>11</v>
      </c>
      <c r="M2">
        <v>2</v>
      </c>
      <c r="N2">
        <v>0</v>
      </c>
    </row>
    <row r="3" spans="1:14" x14ac:dyDescent="0.35">
      <c r="A3" t="s">
        <v>15</v>
      </c>
      <c r="B3" t="s">
        <v>515</v>
      </c>
      <c r="C3">
        <v>87</v>
      </c>
      <c r="D3" t="s">
        <v>1014</v>
      </c>
      <c r="E3" t="s">
        <v>1017</v>
      </c>
      <c r="F3" t="s">
        <v>1024</v>
      </c>
      <c r="G3" t="s">
        <v>1031</v>
      </c>
      <c r="H3" s="2">
        <v>45751</v>
      </c>
      <c r="I3" s="2">
        <v>45764</v>
      </c>
      <c r="J3">
        <v>103736</v>
      </c>
      <c r="K3">
        <v>8</v>
      </c>
      <c r="L3">
        <v>18</v>
      </c>
      <c r="M3">
        <v>1</v>
      </c>
      <c r="N3">
        <v>0</v>
      </c>
    </row>
    <row r="4" spans="1:14" x14ac:dyDescent="0.35">
      <c r="A4" t="s">
        <v>16</v>
      </c>
      <c r="B4" t="s">
        <v>516</v>
      </c>
      <c r="C4">
        <v>28</v>
      </c>
      <c r="D4" t="s">
        <v>1014</v>
      </c>
      <c r="E4" t="s">
        <v>1018</v>
      </c>
      <c r="F4" t="s">
        <v>1025</v>
      </c>
      <c r="G4" t="s">
        <v>1032</v>
      </c>
      <c r="H4" s="2">
        <v>45791</v>
      </c>
      <c r="I4" s="2">
        <v>45793</v>
      </c>
      <c r="J4">
        <v>99123</v>
      </c>
      <c r="K4">
        <v>3</v>
      </c>
      <c r="L4">
        <v>13</v>
      </c>
      <c r="M4">
        <v>4</v>
      </c>
      <c r="N4">
        <v>0</v>
      </c>
    </row>
    <row r="5" spans="1:14" x14ac:dyDescent="0.35">
      <c r="A5" t="s">
        <v>17</v>
      </c>
      <c r="B5" t="s">
        <v>517</v>
      </c>
      <c r="C5">
        <v>26</v>
      </c>
      <c r="D5" t="s">
        <v>1015</v>
      </c>
      <c r="E5" t="s">
        <v>1019</v>
      </c>
      <c r="F5" t="s">
        <v>1026</v>
      </c>
      <c r="G5" t="s">
        <v>1033</v>
      </c>
      <c r="H5" s="2">
        <v>45768</v>
      </c>
      <c r="I5" s="2">
        <v>45770</v>
      </c>
      <c r="J5">
        <v>344254</v>
      </c>
      <c r="K5">
        <v>5</v>
      </c>
      <c r="L5">
        <v>6</v>
      </c>
      <c r="M5">
        <v>1</v>
      </c>
      <c r="N5">
        <v>0</v>
      </c>
    </row>
    <row r="6" spans="1:14" x14ac:dyDescent="0.35">
      <c r="A6" t="s">
        <v>18</v>
      </c>
      <c r="B6" t="s">
        <v>518</v>
      </c>
      <c r="C6">
        <v>1</v>
      </c>
      <c r="D6" t="s">
        <v>1014</v>
      </c>
      <c r="E6" t="s">
        <v>1020</v>
      </c>
      <c r="F6" t="s">
        <v>1027</v>
      </c>
      <c r="G6" t="s">
        <v>1034</v>
      </c>
      <c r="H6" s="2">
        <v>45752</v>
      </c>
      <c r="I6" s="2">
        <v>45763</v>
      </c>
      <c r="J6">
        <v>195852</v>
      </c>
      <c r="K6">
        <v>9</v>
      </c>
      <c r="L6">
        <v>13</v>
      </c>
      <c r="M6">
        <v>4</v>
      </c>
      <c r="N6">
        <v>0</v>
      </c>
    </row>
    <row r="7" spans="1:14" x14ac:dyDescent="0.35">
      <c r="A7" t="s">
        <v>19</v>
      </c>
      <c r="B7" t="s">
        <v>519</v>
      </c>
      <c r="C7">
        <v>28</v>
      </c>
      <c r="D7" t="s">
        <v>1015</v>
      </c>
      <c r="E7" t="s">
        <v>1021</v>
      </c>
      <c r="F7" t="s">
        <v>1028</v>
      </c>
      <c r="G7" t="s">
        <v>1035</v>
      </c>
      <c r="H7" s="2">
        <v>45768</v>
      </c>
      <c r="I7" s="2">
        <v>45774</v>
      </c>
      <c r="J7">
        <v>131516</v>
      </c>
      <c r="K7">
        <v>1</v>
      </c>
      <c r="L7">
        <v>9</v>
      </c>
      <c r="M7">
        <v>1</v>
      </c>
      <c r="N7">
        <v>119574</v>
      </c>
    </row>
    <row r="8" spans="1:14" x14ac:dyDescent="0.35">
      <c r="A8" t="s">
        <v>20</v>
      </c>
      <c r="B8" t="s">
        <v>520</v>
      </c>
      <c r="C8">
        <v>46</v>
      </c>
      <c r="D8" t="s">
        <v>1015</v>
      </c>
      <c r="E8" t="s">
        <v>1018</v>
      </c>
      <c r="F8" t="s">
        <v>1025</v>
      </c>
      <c r="G8" t="s">
        <v>1032</v>
      </c>
      <c r="H8" s="2">
        <v>45775</v>
      </c>
      <c r="I8" s="2">
        <v>45783</v>
      </c>
      <c r="J8">
        <v>100707</v>
      </c>
      <c r="K8">
        <v>1</v>
      </c>
      <c r="L8">
        <v>18</v>
      </c>
      <c r="M8">
        <v>4</v>
      </c>
      <c r="N8">
        <v>0</v>
      </c>
    </row>
    <row r="9" spans="1:14" x14ac:dyDescent="0.35">
      <c r="A9" t="s">
        <v>21</v>
      </c>
      <c r="B9" t="s">
        <v>521</v>
      </c>
      <c r="C9">
        <v>59</v>
      </c>
      <c r="D9" t="s">
        <v>1014</v>
      </c>
      <c r="E9" t="s">
        <v>1021</v>
      </c>
      <c r="F9" t="s">
        <v>1028</v>
      </c>
      <c r="G9" t="s">
        <v>1036</v>
      </c>
      <c r="H9" s="2">
        <v>45777</v>
      </c>
      <c r="I9" s="2">
        <v>45791</v>
      </c>
      <c r="J9">
        <v>72780</v>
      </c>
      <c r="K9">
        <v>3</v>
      </c>
      <c r="L9">
        <v>3</v>
      </c>
      <c r="M9">
        <v>1</v>
      </c>
      <c r="N9">
        <v>271151</v>
      </c>
    </row>
    <row r="10" spans="1:14" x14ac:dyDescent="0.35">
      <c r="A10" t="s">
        <v>22</v>
      </c>
      <c r="B10" t="s">
        <v>522</v>
      </c>
      <c r="C10">
        <v>81</v>
      </c>
      <c r="D10" t="s">
        <v>1015</v>
      </c>
      <c r="E10" t="s">
        <v>1018</v>
      </c>
      <c r="F10" t="s">
        <v>1025</v>
      </c>
      <c r="G10" t="s">
        <v>1032</v>
      </c>
      <c r="H10" s="2">
        <v>45799</v>
      </c>
      <c r="I10" s="2">
        <v>45809</v>
      </c>
      <c r="J10">
        <v>203709</v>
      </c>
      <c r="K10">
        <v>5</v>
      </c>
      <c r="L10">
        <v>13</v>
      </c>
      <c r="M10">
        <v>4</v>
      </c>
      <c r="N10">
        <v>0</v>
      </c>
    </row>
    <row r="11" spans="1:14" x14ac:dyDescent="0.35">
      <c r="A11" t="s">
        <v>23</v>
      </c>
      <c r="B11" t="s">
        <v>523</v>
      </c>
      <c r="C11">
        <v>6</v>
      </c>
      <c r="D11" t="s">
        <v>1014</v>
      </c>
      <c r="E11" t="s">
        <v>1017</v>
      </c>
      <c r="F11" t="s">
        <v>1024</v>
      </c>
      <c r="G11" t="s">
        <v>1031</v>
      </c>
      <c r="H11" s="2">
        <v>45802</v>
      </c>
      <c r="I11" s="2">
        <v>45815</v>
      </c>
      <c r="J11">
        <v>86466</v>
      </c>
      <c r="K11">
        <v>6</v>
      </c>
      <c r="L11">
        <v>16</v>
      </c>
      <c r="M11">
        <v>4</v>
      </c>
      <c r="N11">
        <v>0</v>
      </c>
    </row>
    <row r="12" spans="1:14" x14ac:dyDescent="0.35">
      <c r="A12" t="s">
        <v>24</v>
      </c>
      <c r="B12" t="s">
        <v>524</v>
      </c>
      <c r="C12">
        <v>13</v>
      </c>
      <c r="D12" t="s">
        <v>1015</v>
      </c>
      <c r="E12" t="s">
        <v>1018</v>
      </c>
      <c r="F12" t="s">
        <v>1025</v>
      </c>
      <c r="G12" t="s">
        <v>1037</v>
      </c>
      <c r="H12" s="2">
        <v>45791</v>
      </c>
      <c r="I12" s="2">
        <v>45806</v>
      </c>
      <c r="J12">
        <v>172049</v>
      </c>
      <c r="K12">
        <v>6</v>
      </c>
      <c r="L12">
        <v>4</v>
      </c>
      <c r="M12">
        <v>3</v>
      </c>
      <c r="N12">
        <v>0</v>
      </c>
    </row>
    <row r="13" spans="1:14" x14ac:dyDescent="0.35">
      <c r="A13" t="s">
        <v>25</v>
      </c>
      <c r="B13" t="s">
        <v>525</v>
      </c>
      <c r="C13">
        <v>47</v>
      </c>
      <c r="D13" t="s">
        <v>1014</v>
      </c>
      <c r="E13" t="s">
        <v>1020</v>
      </c>
      <c r="F13" t="s">
        <v>1027</v>
      </c>
      <c r="G13" t="s">
        <v>1034</v>
      </c>
      <c r="H13" s="2">
        <v>45792</v>
      </c>
      <c r="I13" s="2">
        <v>45804</v>
      </c>
      <c r="J13">
        <v>487314</v>
      </c>
      <c r="K13">
        <v>4</v>
      </c>
      <c r="L13">
        <v>9</v>
      </c>
      <c r="M13">
        <v>1</v>
      </c>
      <c r="N13">
        <v>0</v>
      </c>
    </row>
    <row r="14" spans="1:14" x14ac:dyDescent="0.35">
      <c r="A14" t="s">
        <v>26</v>
      </c>
      <c r="B14" t="s">
        <v>526</v>
      </c>
      <c r="C14">
        <v>35</v>
      </c>
      <c r="D14" t="s">
        <v>1014</v>
      </c>
      <c r="E14" t="s">
        <v>1021</v>
      </c>
      <c r="F14" t="s">
        <v>1028</v>
      </c>
      <c r="G14" t="s">
        <v>1035</v>
      </c>
      <c r="H14" s="2">
        <v>45762</v>
      </c>
      <c r="I14" s="2">
        <v>45767</v>
      </c>
      <c r="J14">
        <v>401364</v>
      </c>
      <c r="K14">
        <v>7</v>
      </c>
      <c r="L14">
        <v>18</v>
      </c>
      <c r="M14">
        <v>4</v>
      </c>
      <c r="N14">
        <v>193479</v>
      </c>
    </row>
    <row r="15" spans="1:14" x14ac:dyDescent="0.35">
      <c r="A15" t="s">
        <v>27</v>
      </c>
      <c r="B15" t="s">
        <v>527</v>
      </c>
      <c r="C15">
        <v>21</v>
      </c>
      <c r="D15" t="s">
        <v>1015</v>
      </c>
      <c r="E15" t="s">
        <v>1019</v>
      </c>
      <c r="F15" t="s">
        <v>1026</v>
      </c>
      <c r="G15" t="s">
        <v>1038</v>
      </c>
      <c r="H15" s="2">
        <v>45783</v>
      </c>
      <c r="I15" s="2">
        <v>45796</v>
      </c>
      <c r="J15">
        <v>178351</v>
      </c>
      <c r="K15">
        <v>6</v>
      </c>
      <c r="L15">
        <v>6</v>
      </c>
      <c r="M15">
        <v>1</v>
      </c>
      <c r="N15">
        <v>0</v>
      </c>
    </row>
    <row r="16" spans="1:14" x14ac:dyDescent="0.35">
      <c r="A16" t="s">
        <v>28</v>
      </c>
      <c r="B16" t="s">
        <v>528</v>
      </c>
      <c r="C16">
        <v>72</v>
      </c>
      <c r="D16" t="s">
        <v>1014</v>
      </c>
      <c r="E16" t="s">
        <v>1021</v>
      </c>
      <c r="F16" t="s">
        <v>1028</v>
      </c>
      <c r="G16" t="s">
        <v>1036</v>
      </c>
      <c r="H16" s="2">
        <v>45746</v>
      </c>
      <c r="I16" s="2">
        <v>45758</v>
      </c>
      <c r="J16">
        <v>410795</v>
      </c>
      <c r="K16">
        <v>7</v>
      </c>
      <c r="L16">
        <v>19</v>
      </c>
      <c r="M16">
        <v>1</v>
      </c>
      <c r="N16">
        <v>189345</v>
      </c>
    </row>
    <row r="17" spans="1:14" x14ac:dyDescent="0.35">
      <c r="A17" t="s">
        <v>29</v>
      </c>
      <c r="B17" t="s">
        <v>529</v>
      </c>
      <c r="C17">
        <v>8</v>
      </c>
      <c r="D17" t="s">
        <v>1014</v>
      </c>
      <c r="E17" t="s">
        <v>1022</v>
      </c>
      <c r="F17" t="s">
        <v>1029</v>
      </c>
      <c r="G17" t="s">
        <v>1039</v>
      </c>
      <c r="H17" s="2">
        <v>45751</v>
      </c>
      <c r="I17" s="2">
        <v>45765</v>
      </c>
      <c r="J17">
        <v>456847</v>
      </c>
      <c r="K17">
        <v>6</v>
      </c>
      <c r="L17">
        <v>16</v>
      </c>
      <c r="M17">
        <v>4</v>
      </c>
      <c r="N17">
        <v>0</v>
      </c>
    </row>
    <row r="18" spans="1:14" x14ac:dyDescent="0.35">
      <c r="A18" t="s">
        <v>30</v>
      </c>
      <c r="B18" t="s">
        <v>530</v>
      </c>
      <c r="C18">
        <v>35</v>
      </c>
      <c r="D18" t="s">
        <v>1014</v>
      </c>
      <c r="E18" t="s">
        <v>1022</v>
      </c>
      <c r="F18" t="s">
        <v>1029</v>
      </c>
      <c r="G18" t="s">
        <v>1039</v>
      </c>
      <c r="H18" s="2">
        <v>45767</v>
      </c>
      <c r="I18" s="2">
        <v>45774</v>
      </c>
      <c r="J18">
        <v>260325</v>
      </c>
      <c r="K18">
        <v>9</v>
      </c>
      <c r="L18">
        <v>18</v>
      </c>
      <c r="M18">
        <v>4</v>
      </c>
      <c r="N18">
        <v>0</v>
      </c>
    </row>
    <row r="19" spans="1:14" x14ac:dyDescent="0.35">
      <c r="A19" t="s">
        <v>31</v>
      </c>
      <c r="B19" t="s">
        <v>531</v>
      </c>
      <c r="C19">
        <v>28</v>
      </c>
      <c r="D19" t="s">
        <v>1015</v>
      </c>
      <c r="E19" t="s">
        <v>1019</v>
      </c>
      <c r="F19" t="s">
        <v>1026</v>
      </c>
      <c r="G19" t="s">
        <v>1038</v>
      </c>
      <c r="H19" s="2">
        <v>45758</v>
      </c>
      <c r="I19" s="2">
        <v>45771</v>
      </c>
      <c r="J19">
        <v>214981</v>
      </c>
      <c r="K19">
        <v>6</v>
      </c>
      <c r="L19">
        <v>14</v>
      </c>
      <c r="M19">
        <v>4</v>
      </c>
      <c r="N19">
        <v>0</v>
      </c>
    </row>
    <row r="20" spans="1:14" x14ac:dyDescent="0.35">
      <c r="A20" t="s">
        <v>32</v>
      </c>
      <c r="B20" t="s">
        <v>532</v>
      </c>
      <c r="C20">
        <v>34</v>
      </c>
      <c r="D20" t="s">
        <v>1014</v>
      </c>
      <c r="E20" t="s">
        <v>1016</v>
      </c>
      <c r="F20" t="s">
        <v>1023</v>
      </c>
      <c r="G20" t="s">
        <v>1030</v>
      </c>
      <c r="H20" s="2">
        <v>45761</v>
      </c>
      <c r="I20" s="2">
        <v>45770</v>
      </c>
      <c r="J20">
        <v>124905</v>
      </c>
      <c r="K20">
        <v>2</v>
      </c>
      <c r="L20">
        <v>2</v>
      </c>
      <c r="M20">
        <v>2</v>
      </c>
      <c r="N20">
        <v>0</v>
      </c>
    </row>
    <row r="21" spans="1:14" x14ac:dyDescent="0.35">
      <c r="A21" t="s">
        <v>33</v>
      </c>
      <c r="B21" t="s">
        <v>533</v>
      </c>
      <c r="C21">
        <v>34</v>
      </c>
      <c r="D21" t="s">
        <v>1015</v>
      </c>
      <c r="E21" t="s">
        <v>1016</v>
      </c>
      <c r="F21" t="s">
        <v>1023</v>
      </c>
      <c r="G21" t="s">
        <v>1040</v>
      </c>
      <c r="H21" s="2">
        <v>45752</v>
      </c>
      <c r="I21" s="2">
        <v>45762</v>
      </c>
      <c r="J21">
        <v>332579</v>
      </c>
      <c r="K21">
        <v>2</v>
      </c>
      <c r="L21">
        <v>17</v>
      </c>
      <c r="M21">
        <v>1</v>
      </c>
      <c r="N21">
        <v>0</v>
      </c>
    </row>
    <row r="22" spans="1:14" x14ac:dyDescent="0.35">
      <c r="A22" t="s">
        <v>34</v>
      </c>
      <c r="B22" t="s">
        <v>534</v>
      </c>
      <c r="C22">
        <v>66</v>
      </c>
      <c r="D22" t="s">
        <v>1015</v>
      </c>
      <c r="E22" t="s">
        <v>1021</v>
      </c>
      <c r="F22" t="s">
        <v>1028</v>
      </c>
      <c r="G22" t="s">
        <v>1035</v>
      </c>
      <c r="H22" s="2">
        <v>45775</v>
      </c>
      <c r="I22" s="2">
        <v>45780</v>
      </c>
      <c r="J22">
        <v>122525</v>
      </c>
      <c r="K22">
        <v>1</v>
      </c>
      <c r="L22">
        <v>17</v>
      </c>
      <c r="M22">
        <v>2</v>
      </c>
      <c r="N22">
        <v>184302</v>
      </c>
    </row>
    <row r="23" spans="1:14" x14ac:dyDescent="0.35">
      <c r="A23" t="s">
        <v>35</v>
      </c>
      <c r="B23" t="s">
        <v>535</v>
      </c>
      <c r="C23">
        <v>20</v>
      </c>
      <c r="D23" t="s">
        <v>1014</v>
      </c>
      <c r="E23" t="s">
        <v>1022</v>
      </c>
      <c r="F23" t="s">
        <v>1029</v>
      </c>
      <c r="G23" t="s">
        <v>1041</v>
      </c>
      <c r="H23" s="2">
        <v>45753</v>
      </c>
      <c r="I23" s="2">
        <v>45755</v>
      </c>
      <c r="J23">
        <v>107487</v>
      </c>
      <c r="K23">
        <v>9</v>
      </c>
      <c r="L23">
        <v>14</v>
      </c>
      <c r="M23">
        <v>4</v>
      </c>
      <c r="N23">
        <v>0</v>
      </c>
    </row>
    <row r="24" spans="1:14" x14ac:dyDescent="0.35">
      <c r="A24" t="s">
        <v>36</v>
      </c>
      <c r="B24" t="s">
        <v>536</v>
      </c>
      <c r="C24">
        <v>49</v>
      </c>
      <c r="D24" t="s">
        <v>1015</v>
      </c>
      <c r="E24" t="s">
        <v>1019</v>
      </c>
      <c r="F24" t="s">
        <v>1026</v>
      </c>
      <c r="G24" t="s">
        <v>1038</v>
      </c>
      <c r="H24" s="2">
        <v>45746</v>
      </c>
      <c r="I24" s="2">
        <v>45749</v>
      </c>
      <c r="J24">
        <v>251728</v>
      </c>
      <c r="K24">
        <v>9</v>
      </c>
      <c r="L24">
        <v>8</v>
      </c>
      <c r="M24">
        <v>2</v>
      </c>
      <c r="N24">
        <v>0</v>
      </c>
    </row>
    <row r="25" spans="1:14" x14ac:dyDescent="0.35">
      <c r="A25" t="s">
        <v>37</v>
      </c>
      <c r="B25" t="s">
        <v>537</v>
      </c>
      <c r="C25">
        <v>88</v>
      </c>
      <c r="D25" t="s">
        <v>1014</v>
      </c>
      <c r="E25" t="s">
        <v>1019</v>
      </c>
      <c r="F25" t="s">
        <v>1026</v>
      </c>
      <c r="G25" t="s">
        <v>1038</v>
      </c>
      <c r="H25" s="2">
        <v>45756</v>
      </c>
      <c r="I25" s="2">
        <v>45771</v>
      </c>
      <c r="J25">
        <v>56019</v>
      </c>
      <c r="K25">
        <v>8</v>
      </c>
      <c r="L25">
        <v>19</v>
      </c>
      <c r="M25">
        <v>1</v>
      </c>
      <c r="N25">
        <v>0</v>
      </c>
    </row>
    <row r="26" spans="1:14" x14ac:dyDescent="0.35">
      <c r="A26" t="s">
        <v>38</v>
      </c>
      <c r="B26" t="s">
        <v>538</v>
      </c>
      <c r="C26">
        <v>15</v>
      </c>
      <c r="D26" t="s">
        <v>1015</v>
      </c>
      <c r="E26" t="s">
        <v>1022</v>
      </c>
      <c r="F26" t="s">
        <v>1029</v>
      </c>
      <c r="G26" t="s">
        <v>1041</v>
      </c>
      <c r="H26" s="2">
        <v>45751</v>
      </c>
      <c r="I26" s="2">
        <v>45763</v>
      </c>
      <c r="J26">
        <v>228349</v>
      </c>
      <c r="K26">
        <v>2</v>
      </c>
      <c r="L26">
        <v>15</v>
      </c>
      <c r="M26">
        <v>3</v>
      </c>
      <c r="N26">
        <v>0</v>
      </c>
    </row>
    <row r="27" spans="1:14" x14ac:dyDescent="0.35">
      <c r="A27" t="s">
        <v>39</v>
      </c>
      <c r="B27" t="s">
        <v>539</v>
      </c>
      <c r="C27">
        <v>34</v>
      </c>
      <c r="D27" t="s">
        <v>1014</v>
      </c>
      <c r="E27" t="s">
        <v>1017</v>
      </c>
      <c r="F27" t="s">
        <v>1024</v>
      </c>
      <c r="G27" t="s">
        <v>1042</v>
      </c>
      <c r="H27" s="2">
        <v>45791</v>
      </c>
      <c r="I27" s="2">
        <v>45800</v>
      </c>
      <c r="J27">
        <v>51701</v>
      </c>
      <c r="K27">
        <v>3</v>
      </c>
      <c r="L27">
        <v>12</v>
      </c>
      <c r="M27">
        <v>4</v>
      </c>
      <c r="N27">
        <v>0</v>
      </c>
    </row>
    <row r="28" spans="1:14" x14ac:dyDescent="0.35">
      <c r="A28" t="s">
        <v>40</v>
      </c>
      <c r="B28" t="s">
        <v>540</v>
      </c>
      <c r="C28">
        <v>82</v>
      </c>
      <c r="D28" t="s">
        <v>1014</v>
      </c>
      <c r="E28" t="s">
        <v>1022</v>
      </c>
      <c r="F28" t="s">
        <v>1029</v>
      </c>
      <c r="G28" t="s">
        <v>1039</v>
      </c>
      <c r="H28" s="2">
        <v>45746</v>
      </c>
      <c r="I28" s="2">
        <v>45758</v>
      </c>
      <c r="J28">
        <v>206471</v>
      </c>
      <c r="K28">
        <v>6</v>
      </c>
      <c r="L28">
        <v>18</v>
      </c>
      <c r="M28">
        <v>2</v>
      </c>
      <c r="N28">
        <v>0</v>
      </c>
    </row>
    <row r="29" spans="1:14" x14ac:dyDescent="0.35">
      <c r="A29" t="s">
        <v>41</v>
      </c>
      <c r="B29" t="s">
        <v>541</v>
      </c>
      <c r="C29">
        <v>70</v>
      </c>
      <c r="D29" t="s">
        <v>1014</v>
      </c>
      <c r="E29" t="s">
        <v>1021</v>
      </c>
      <c r="F29" t="s">
        <v>1028</v>
      </c>
      <c r="G29" t="s">
        <v>1036</v>
      </c>
      <c r="H29" s="2">
        <v>45788</v>
      </c>
      <c r="I29" s="2">
        <v>45802</v>
      </c>
      <c r="J29">
        <v>134698</v>
      </c>
      <c r="K29">
        <v>8</v>
      </c>
      <c r="L29">
        <v>1</v>
      </c>
      <c r="M29">
        <v>1</v>
      </c>
      <c r="N29">
        <v>254310</v>
      </c>
    </row>
    <row r="30" spans="1:14" x14ac:dyDescent="0.35">
      <c r="A30" t="s">
        <v>42</v>
      </c>
      <c r="B30" t="s">
        <v>542</v>
      </c>
      <c r="C30">
        <v>47</v>
      </c>
      <c r="D30" t="s">
        <v>1015</v>
      </c>
      <c r="E30" t="s">
        <v>1020</v>
      </c>
      <c r="F30" t="s">
        <v>1027</v>
      </c>
      <c r="G30" t="s">
        <v>1043</v>
      </c>
      <c r="H30" s="2">
        <v>45762</v>
      </c>
      <c r="I30" s="2">
        <v>45764</v>
      </c>
      <c r="J30">
        <v>108650</v>
      </c>
      <c r="K30">
        <v>3</v>
      </c>
      <c r="L30">
        <v>17</v>
      </c>
      <c r="M30">
        <v>3</v>
      </c>
      <c r="N30">
        <v>0</v>
      </c>
    </row>
    <row r="31" spans="1:14" x14ac:dyDescent="0.35">
      <c r="A31" t="s">
        <v>43</v>
      </c>
      <c r="B31" t="s">
        <v>543</v>
      </c>
      <c r="C31">
        <v>11</v>
      </c>
      <c r="D31" t="s">
        <v>1014</v>
      </c>
      <c r="E31" t="s">
        <v>1018</v>
      </c>
      <c r="F31" t="s">
        <v>1025</v>
      </c>
      <c r="G31" t="s">
        <v>1032</v>
      </c>
      <c r="H31" s="2">
        <v>45788</v>
      </c>
      <c r="I31" s="2">
        <v>45793</v>
      </c>
      <c r="J31">
        <v>347458</v>
      </c>
      <c r="K31">
        <v>4</v>
      </c>
      <c r="L31">
        <v>5</v>
      </c>
      <c r="M31">
        <v>3</v>
      </c>
      <c r="N31">
        <v>0</v>
      </c>
    </row>
    <row r="32" spans="1:14" x14ac:dyDescent="0.35">
      <c r="A32" t="s">
        <v>44</v>
      </c>
      <c r="B32" t="s">
        <v>544</v>
      </c>
      <c r="C32">
        <v>69</v>
      </c>
      <c r="D32" t="s">
        <v>1014</v>
      </c>
      <c r="E32" t="s">
        <v>1020</v>
      </c>
      <c r="F32" t="s">
        <v>1027</v>
      </c>
      <c r="G32" t="s">
        <v>1043</v>
      </c>
      <c r="H32" s="2">
        <v>45757</v>
      </c>
      <c r="I32" s="2">
        <v>45772</v>
      </c>
      <c r="J32">
        <v>86287</v>
      </c>
      <c r="K32">
        <v>4</v>
      </c>
      <c r="L32">
        <v>5</v>
      </c>
      <c r="M32">
        <v>4</v>
      </c>
      <c r="N32">
        <v>0</v>
      </c>
    </row>
    <row r="33" spans="1:14" x14ac:dyDescent="0.35">
      <c r="A33" t="s">
        <v>45</v>
      </c>
      <c r="B33" t="s">
        <v>545</v>
      </c>
      <c r="C33">
        <v>22</v>
      </c>
      <c r="D33" t="s">
        <v>1015</v>
      </c>
      <c r="E33" t="s">
        <v>1016</v>
      </c>
      <c r="F33" t="s">
        <v>1023</v>
      </c>
      <c r="G33" t="s">
        <v>1040</v>
      </c>
      <c r="H33" s="2">
        <v>45797</v>
      </c>
      <c r="I33" s="2">
        <v>45806</v>
      </c>
      <c r="J33">
        <v>338255</v>
      </c>
      <c r="K33">
        <v>3</v>
      </c>
      <c r="L33">
        <v>15</v>
      </c>
      <c r="M33">
        <v>4</v>
      </c>
      <c r="N33">
        <v>0</v>
      </c>
    </row>
    <row r="34" spans="1:14" x14ac:dyDescent="0.35">
      <c r="A34" t="s">
        <v>46</v>
      </c>
      <c r="B34" t="s">
        <v>546</v>
      </c>
      <c r="C34">
        <v>89</v>
      </c>
      <c r="D34" t="s">
        <v>1014</v>
      </c>
      <c r="E34" t="s">
        <v>1017</v>
      </c>
      <c r="F34" t="s">
        <v>1024</v>
      </c>
      <c r="G34" t="s">
        <v>1031</v>
      </c>
      <c r="H34" s="2">
        <v>45774</v>
      </c>
      <c r="I34" s="2">
        <v>45784</v>
      </c>
      <c r="J34">
        <v>445976</v>
      </c>
      <c r="K34">
        <v>9</v>
      </c>
      <c r="L34">
        <v>3</v>
      </c>
      <c r="M34">
        <v>1</v>
      </c>
      <c r="N34">
        <v>0</v>
      </c>
    </row>
    <row r="35" spans="1:14" x14ac:dyDescent="0.35">
      <c r="A35" t="s">
        <v>47</v>
      </c>
      <c r="B35" t="s">
        <v>547</v>
      </c>
      <c r="C35">
        <v>48</v>
      </c>
      <c r="D35" t="s">
        <v>1015</v>
      </c>
      <c r="E35" t="s">
        <v>1020</v>
      </c>
      <c r="F35" t="s">
        <v>1027</v>
      </c>
      <c r="G35" t="s">
        <v>1034</v>
      </c>
      <c r="H35" s="2">
        <v>45750</v>
      </c>
      <c r="I35" s="2">
        <v>45762</v>
      </c>
      <c r="J35">
        <v>390723</v>
      </c>
      <c r="K35">
        <v>2</v>
      </c>
      <c r="L35">
        <v>19</v>
      </c>
      <c r="M35">
        <v>4</v>
      </c>
      <c r="N35">
        <v>0</v>
      </c>
    </row>
    <row r="36" spans="1:14" x14ac:dyDescent="0.35">
      <c r="A36" t="s">
        <v>48</v>
      </c>
      <c r="B36" t="s">
        <v>548</v>
      </c>
      <c r="C36">
        <v>9</v>
      </c>
      <c r="D36" t="s">
        <v>1015</v>
      </c>
      <c r="E36" t="s">
        <v>1018</v>
      </c>
      <c r="F36" t="s">
        <v>1025</v>
      </c>
      <c r="G36" t="s">
        <v>1044</v>
      </c>
      <c r="H36" s="2">
        <v>45776</v>
      </c>
      <c r="I36" s="2">
        <v>45781</v>
      </c>
      <c r="J36">
        <v>167806</v>
      </c>
      <c r="K36">
        <v>4</v>
      </c>
      <c r="L36">
        <v>2</v>
      </c>
      <c r="M36">
        <v>4</v>
      </c>
      <c r="N36">
        <v>0</v>
      </c>
    </row>
    <row r="37" spans="1:14" x14ac:dyDescent="0.35">
      <c r="A37" t="s">
        <v>49</v>
      </c>
      <c r="B37" t="s">
        <v>549</v>
      </c>
      <c r="C37">
        <v>76</v>
      </c>
      <c r="D37" t="s">
        <v>1014</v>
      </c>
      <c r="E37" t="s">
        <v>1019</v>
      </c>
      <c r="F37" t="s">
        <v>1026</v>
      </c>
      <c r="G37" t="s">
        <v>1033</v>
      </c>
      <c r="H37" s="2">
        <v>45780</v>
      </c>
      <c r="I37" s="2">
        <v>45790</v>
      </c>
      <c r="J37">
        <v>170646</v>
      </c>
      <c r="K37">
        <v>5</v>
      </c>
      <c r="L37">
        <v>9</v>
      </c>
      <c r="M37">
        <v>1</v>
      </c>
      <c r="N37">
        <v>0</v>
      </c>
    </row>
    <row r="38" spans="1:14" x14ac:dyDescent="0.35">
      <c r="A38" t="s">
        <v>50</v>
      </c>
      <c r="B38" t="s">
        <v>550</v>
      </c>
      <c r="C38">
        <v>8</v>
      </c>
      <c r="D38" t="s">
        <v>1014</v>
      </c>
      <c r="E38" t="s">
        <v>1018</v>
      </c>
      <c r="F38" t="s">
        <v>1025</v>
      </c>
      <c r="G38" t="s">
        <v>1044</v>
      </c>
      <c r="H38" s="2">
        <v>45793</v>
      </c>
      <c r="I38" s="2">
        <v>45806</v>
      </c>
      <c r="J38">
        <v>380879</v>
      </c>
      <c r="K38">
        <v>8</v>
      </c>
      <c r="L38">
        <v>10</v>
      </c>
      <c r="M38">
        <v>4</v>
      </c>
      <c r="N38">
        <v>0</v>
      </c>
    </row>
    <row r="39" spans="1:14" x14ac:dyDescent="0.35">
      <c r="A39" t="s">
        <v>51</v>
      </c>
      <c r="B39" t="s">
        <v>551</v>
      </c>
      <c r="C39">
        <v>10</v>
      </c>
      <c r="D39" t="s">
        <v>1014</v>
      </c>
      <c r="E39" t="s">
        <v>1018</v>
      </c>
      <c r="F39" t="s">
        <v>1025</v>
      </c>
      <c r="G39" t="s">
        <v>1037</v>
      </c>
      <c r="H39" s="2">
        <v>45794</v>
      </c>
      <c r="I39" s="2">
        <v>45809</v>
      </c>
      <c r="J39">
        <v>223239</v>
      </c>
      <c r="K39">
        <v>1</v>
      </c>
      <c r="L39">
        <v>7</v>
      </c>
      <c r="M39">
        <v>2</v>
      </c>
      <c r="N39">
        <v>0</v>
      </c>
    </row>
    <row r="40" spans="1:14" x14ac:dyDescent="0.35">
      <c r="A40" t="s">
        <v>52</v>
      </c>
      <c r="B40" t="s">
        <v>552</v>
      </c>
      <c r="C40">
        <v>70</v>
      </c>
      <c r="D40" t="s">
        <v>1014</v>
      </c>
      <c r="E40" t="s">
        <v>1016</v>
      </c>
      <c r="F40" t="s">
        <v>1023</v>
      </c>
      <c r="G40" t="s">
        <v>1040</v>
      </c>
      <c r="H40" s="2">
        <v>45762</v>
      </c>
      <c r="I40" s="2">
        <v>45771</v>
      </c>
      <c r="J40">
        <v>162321</v>
      </c>
      <c r="K40">
        <v>5</v>
      </c>
      <c r="L40">
        <v>11</v>
      </c>
      <c r="M40">
        <v>2</v>
      </c>
      <c r="N40">
        <v>0</v>
      </c>
    </row>
    <row r="41" spans="1:14" x14ac:dyDescent="0.35">
      <c r="A41" t="s">
        <v>53</v>
      </c>
      <c r="B41" t="s">
        <v>553</v>
      </c>
      <c r="C41">
        <v>53</v>
      </c>
      <c r="D41" t="s">
        <v>1014</v>
      </c>
      <c r="E41" t="s">
        <v>1017</v>
      </c>
      <c r="F41" t="s">
        <v>1024</v>
      </c>
      <c r="G41" t="s">
        <v>1042</v>
      </c>
      <c r="H41" s="2">
        <v>45755</v>
      </c>
      <c r="I41" s="2">
        <v>45769</v>
      </c>
      <c r="J41">
        <v>297974</v>
      </c>
      <c r="K41">
        <v>6</v>
      </c>
      <c r="L41">
        <v>19</v>
      </c>
      <c r="M41">
        <v>3</v>
      </c>
      <c r="N41">
        <v>0</v>
      </c>
    </row>
    <row r="42" spans="1:14" x14ac:dyDescent="0.35">
      <c r="A42" t="s">
        <v>54</v>
      </c>
      <c r="B42" t="s">
        <v>554</v>
      </c>
      <c r="C42">
        <v>46</v>
      </c>
      <c r="D42" t="s">
        <v>1015</v>
      </c>
      <c r="E42" t="s">
        <v>1018</v>
      </c>
      <c r="F42" t="s">
        <v>1025</v>
      </c>
      <c r="G42" t="s">
        <v>1037</v>
      </c>
      <c r="H42" s="2">
        <v>45767</v>
      </c>
      <c r="I42" s="2">
        <v>45779</v>
      </c>
      <c r="J42">
        <v>275994</v>
      </c>
      <c r="K42">
        <v>3</v>
      </c>
      <c r="L42">
        <v>12</v>
      </c>
      <c r="M42">
        <v>3</v>
      </c>
      <c r="N42">
        <v>0</v>
      </c>
    </row>
    <row r="43" spans="1:14" x14ac:dyDescent="0.35">
      <c r="A43" t="s">
        <v>55</v>
      </c>
      <c r="B43" t="s">
        <v>555</v>
      </c>
      <c r="C43">
        <v>7</v>
      </c>
      <c r="D43" t="s">
        <v>1014</v>
      </c>
      <c r="E43" t="s">
        <v>1020</v>
      </c>
      <c r="F43" t="s">
        <v>1027</v>
      </c>
      <c r="G43" t="s">
        <v>1043</v>
      </c>
      <c r="H43" s="2">
        <v>45789</v>
      </c>
      <c r="I43" s="2">
        <v>45804</v>
      </c>
      <c r="J43">
        <v>432245</v>
      </c>
      <c r="K43">
        <v>7</v>
      </c>
      <c r="L43">
        <v>6</v>
      </c>
      <c r="M43">
        <v>1</v>
      </c>
      <c r="N43">
        <v>0</v>
      </c>
    </row>
    <row r="44" spans="1:14" x14ac:dyDescent="0.35">
      <c r="A44" t="s">
        <v>56</v>
      </c>
      <c r="B44" t="s">
        <v>556</v>
      </c>
      <c r="C44">
        <v>14</v>
      </c>
      <c r="D44" t="s">
        <v>1014</v>
      </c>
      <c r="E44" t="s">
        <v>1020</v>
      </c>
      <c r="F44" t="s">
        <v>1027</v>
      </c>
      <c r="G44" t="s">
        <v>1043</v>
      </c>
      <c r="H44" s="2">
        <v>45795</v>
      </c>
      <c r="I44" s="2">
        <v>45808</v>
      </c>
      <c r="J44">
        <v>227892</v>
      </c>
      <c r="K44">
        <v>4</v>
      </c>
      <c r="L44">
        <v>2</v>
      </c>
      <c r="M44">
        <v>3</v>
      </c>
      <c r="N44">
        <v>0</v>
      </c>
    </row>
    <row r="45" spans="1:14" x14ac:dyDescent="0.35">
      <c r="A45" t="s">
        <v>57</v>
      </c>
      <c r="B45" t="s">
        <v>557</v>
      </c>
      <c r="C45">
        <v>18</v>
      </c>
      <c r="D45" t="s">
        <v>1015</v>
      </c>
      <c r="E45" t="s">
        <v>1017</v>
      </c>
      <c r="F45" t="s">
        <v>1024</v>
      </c>
      <c r="G45" t="s">
        <v>1042</v>
      </c>
      <c r="H45" s="2">
        <v>45780</v>
      </c>
      <c r="I45" s="2">
        <v>45790</v>
      </c>
      <c r="J45">
        <v>285202</v>
      </c>
      <c r="K45">
        <v>9</v>
      </c>
      <c r="L45">
        <v>8</v>
      </c>
      <c r="M45">
        <v>3</v>
      </c>
      <c r="N45">
        <v>0</v>
      </c>
    </row>
    <row r="46" spans="1:14" x14ac:dyDescent="0.35">
      <c r="A46" t="s">
        <v>58</v>
      </c>
      <c r="B46" t="s">
        <v>558</v>
      </c>
      <c r="C46">
        <v>10</v>
      </c>
      <c r="D46" t="s">
        <v>1015</v>
      </c>
      <c r="E46" t="s">
        <v>1021</v>
      </c>
      <c r="F46" t="s">
        <v>1028</v>
      </c>
      <c r="G46" t="s">
        <v>1035</v>
      </c>
      <c r="H46" s="2">
        <v>45772</v>
      </c>
      <c r="I46" s="2">
        <v>45781</v>
      </c>
      <c r="J46">
        <v>180970</v>
      </c>
      <c r="K46">
        <v>3</v>
      </c>
      <c r="L46">
        <v>17</v>
      </c>
      <c r="M46">
        <v>1</v>
      </c>
      <c r="N46">
        <v>288935</v>
      </c>
    </row>
    <row r="47" spans="1:14" x14ac:dyDescent="0.35">
      <c r="A47" t="s">
        <v>59</v>
      </c>
      <c r="B47" t="s">
        <v>559</v>
      </c>
      <c r="C47">
        <v>2</v>
      </c>
      <c r="D47" t="s">
        <v>1014</v>
      </c>
      <c r="E47" t="s">
        <v>1018</v>
      </c>
      <c r="F47" t="s">
        <v>1025</v>
      </c>
      <c r="G47" t="s">
        <v>1044</v>
      </c>
      <c r="H47" s="2">
        <v>45750</v>
      </c>
      <c r="I47" s="2">
        <v>45762</v>
      </c>
      <c r="J47">
        <v>333423</v>
      </c>
      <c r="K47">
        <v>2</v>
      </c>
      <c r="L47">
        <v>5</v>
      </c>
      <c r="M47">
        <v>4</v>
      </c>
      <c r="N47">
        <v>0</v>
      </c>
    </row>
    <row r="48" spans="1:14" x14ac:dyDescent="0.35">
      <c r="A48" t="s">
        <v>60</v>
      </c>
      <c r="B48" t="s">
        <v>560</v>
      </c>
      <c r="C48">
        <v>62</v>
      </c>
      <c r="D48" t="s">
        <v>1014</v>
      </c>
      <c r="E48" t="s">
        <v>1017</v>
      </c>
      <c r="F48" t="s">
        <v>1024</v>
      </c>
      <c r="G48" t="s">
        <v>1031</v>
      </c>
      <c r="H48" s="2">
        <v>45762</v>
      </c>
      <c r="I48" s="2">
        <v>45770</v>
      </c>
      <c r="J48">
        <v>304615</v>
      </c>
      <c r="K48">
        <v>5</v>
      </c>
      <c r="L48">
        <v>14</v>
      </c>
      <c r="M48">
        <v>1</v>
      </c>
      <c r="N48">
        <v>0</v>
      </c>
    </row>
    <row r="49" spans="1:14" x14ac:dyDescent="0.35">
      <c r="A49" t="s">
        <v>61</v>
      </c>
      <c r="B49" t="s">
        <v>561</v>
      </c>
      <c r="C49">
        <v>1</v>
      </c>
      <c r="D49" t="s">
        <v>1015</v>
      </c>
      <c r="E49" t="s">
        <v>1018</v>
      </c>
      <c r="F49" t="s">
        <v>1025</v>
      </c>
      <c r="G49" t="s">
        <v>1037</v>
      </c>
      <c r="H49" s="2">
        <v>45760</v>
      </c>
      <c r="I49" s="2">
        <v>45764</v>
      </c>
      <c r="J49">
        <v>248691</v>
      </c>
      <c r="K49">
        <v>8</v>
      </c>
      <c r="L49">
        <v>7</v>
      </c>
      <c r="M49">
        <v>4</v>
      </c>
      <c r="N49">
        <v>0</v>
      </c>
    </row>
    <row r="50" spans="1:14" x14ac:dyDescent="0.35">
      <c r="A50" t="s">
        <v>62</v>
      </c>
      <c r="B50" t="s">
        <v>562</v>
      </c>
      <c r="C50">
        <v>37</v>
      </c>
      <c r="D50" t="s">
        <v>1015</v>
      </c>
      <c r="E50" t="s">
        <v>1022</v>
      </c>
      <c r="F50" t="s">
        <v>1029</v>
      </c>
      <c r="G50" t="s">
        <v>1041</v>
      </c>
      <c r="H50" s="2">
        <v>45767</v>
      </c>
      <c r="I50" s="2">
        <v>45781</v>
      </c>
      <c r="J50">
        <v>288555</v>
      </c>
      <c r="K50">
        <v>9</v>
      </c>
      <c r="L50">
        <v>17</v>
      </c>
      <c r="M50">
        <v>1</v>
      </c>
      <c r="N50">
        <v>0</v>
      </c>
    </row>
    <row r="51" spans="1:14" x14ac:dyDescent="0.35">
      <c r="A51" t="s">
        <v>63</v>
      </c>
      <c r="B51" t="s">
        <v>563</v>
      </c>
      <c r="C51">
        <v>28</v>
      </c>
      <c r="D51" t="s">
        <v>1014</v>
      </c>
      <c r="E51" t="s">
        <v>1017</v>
      </c>
      <c r="F51" t="s">
        <v>1024</v>
      </c>
      <c r="G51" t="s">
        <v>1042</v>
      </c>
      <c r="H51" s="2">
        <v>45756</v>
      </c>
      <c r="I51" s="2">
        <v>45761</v>
      </c>
      <c r="J51">
        <v>205560</v>
      </c>
      <c r="K51">
        <v>7</v>
      </c>
      <c r="L51">
        <v>4</v>
      </c>
      <c r="M51">
        <v>3</v>
      </c>
      <c r="N51">
        <v>0</v>
      </c>
    </row>
    <row r="52" spans="1:14" x14ac:dyDescent="0.35">
      <c r="A52" t="s">
        <v>64</v>
      </c>
      <c r="B52" t="s">
        <v>564</v>
      </c>
      <c r="C52">
        <v>7</v>
      </c>
      <c r="D52" t="s">
        <v>1015</v>
      </c>
      <c r="E52" t="s">
        <v>1016</v>
      </c>
      <c r="F52" t="s">
        <v>1023</v>
      </c>
      <c r="G52" t="s">
        <v>1030</v>
      </c>
      <c r="H52" s="2">
        <v>45791</v>
      </c>
      <c r="I52" s="2">
        <v>45798</v>
      </c>
      <c r="J52">
        <v>79971</v>
      </c>
      <c r="K52">
        <v>6</v>
      </c>
      <c r="L52">
        <v>9</v>
      </c>
      <c r="M52">
        <v>2</v>
      </c>
      <c r="N52">
        <v>0</v>
      </c>
    </row>
    <row r="53" spans="1:14" x14ac:dyDescent="0.35">
      <c r="A53" t="s">
        <v>65</v>
      </c>
      <c r="B53" t="s">
        <v>565</v>
      </c>
      <c r="C53">
        <v>24</v>
      </c>
      <c r="D53" t="s">
        <v>1014</v>
      </c>
      <c r="E53" t="s">
        <v>1018</v>
      </c>
      <c r="F53" t="s">
        <v>1025</v>
      </c>
      <c r="G53" t="s">
        <v>1032</v>
      </c>
      <c r="H53" s="2">
        <v>45794</v>
      </c>
      <c r="I53" s="2">
        <v>45804</v>
      </c>
      <c r="J53">
        <v>92001</v>
      </c>
      <c r="K53">
        <v>4</v>
      </c>
      <c r="L53">
        <v>7</v>
      </c>
      <c r="M53">
        <v>1</v>
      </c>
      <c r="N53">
        <v>0</v>
      </c>
    </row>
    <row r="54" spans="1:14" x14ac:dyDescent="0.35">
      <c r="A54" t="s">
        <v>66</v>
      </c>
      <c r="B54" t="s">
        <v>566</v>
      </c>
      <c r="C54">
        <v>52</v>
      </c>
      <c r="D54" t="s">
        <v>1014</v>
      </c>
      <c r="E54" t="s">
        <v>1018</v>
      </c>
      <c r="F54" t="s">
        <v>1025</v>
      </c>
      <c r="G54" t="s">
        <v>1032</v>
      </c>
      <c r="H54" s="2">
        <v>45777</v>
      </c>
      <c r="I54" s="2">
        <v>45789</v>
      </c>
      <c r="J54">
        <v>173314</v>
      </c>
      <c r="K54">
        <v>9</v>
      </c>
      <c r="L54">
        <v>1</v>
      </c>
      <c r="M54">
        <v>1</v>
      </c>
      <c r="N54">
        <v>0</v>
      </c>
    </row>
    <row r="55" spans="1:14" x14ac:dyDescent="0.35">
      <c r="A55" t="s">
        <v>67</v>
      </c>
      <c r="B55" t="s">
        <v>567</v>
      </c>
      <c r="C55">
        <v>6</v>
      </c>
      <c r="D55" t="s">
        <v>1014</v>
      </c>
      <c r="E55" t="s">
        <v>1017</v>
      </c>
      <c r="F55" t="s">
        <v>1024</v>
      </c>
      <c r="G55" t="s">
        <v>1031</v>
      </c>
      <c r="H55" s="2">
        <v>45769</v>
      </c>
      <c r="I55" s="2">
        <v>45780</v>
      </c>
      <c r="J55">
        <v>361699</v>
      </c>
      <c r="K55">
        <v>1</v>
      </c>
      <c r="L55">
        <v>2</v>
      </c>
      <c r="M55">
        <v>1</v>
      </c>
      <c r="N55">
        <v>0</v>
      </c>
    </row>
    <row r="56" spans="1:14" x14ac:dyDescent="0.35">
      <c r="A56" t="s">
        <v>68</v>
      </c>
      <c r="B56" t="s">
        <v>568</v>
      </c>
      <c r="C56">
        <v>67</v>
      </c>
      <c r="D56" t="s">
        <v>1015</v>
      </c>
      <c r="E56" t="s">
        <v>1016</v>
      </c>
      <c r="F56" t="s">
        <v>1023</v>
      </c>
      <c r="G56" t="s">
        <v>1040</v>
      </c>
      <c r="H56" s="2">
        <v>45791</v>
      </c>
      <c r="I56" s="2">
        <v>45802</v>
      </c>
      <c r="J56">
        <v>346341</v>
      </c>
      <c r="K56">
        <v>5</v>
      </c>
      <c r="L56">
        <v>5</v>
      </c>
      <c r="M56">
        <v>3</v>
      </c>
      <c r="N56">
        <v>0</v>
      </c>
    </row>
    <row r="57" spans="1:14" x14ac:dyDescent="0.35">
      <c r="A57" t="s">
        <v>69</v>
      </c>
      <c r="B57" t="s">
        <v>569</v>
      </c>
      <c r="C57">
        <v>41</v>
      </c>
      <c r="D57" t="s">
        <v>1014</v>
      </c>
      <c r="E57" t="s">
        <v>1017</v>
      </c>
      <c r="F57" t="s">
        <v>1024</v>
      </c>
      <c r="G57" t="s">
        <v>1031</v>
      </c>
      <c r="H57" s="2">
        <v>45783</v>
      </c>
      <c r="I57" s="2">
        <v>45795</v>
      </c>
      <c r="J57">
        <v>425490</v>
      </c>
      <c r="K57">
        <v>6</v>
      </c>
      <c r="L57">
        <v>2</v>
      </c>
      <c r="M57">
        <v>3</v>
      </c>
      <c r="N57">
        <v>0</v>
      </c>
    </row>
    <row r="58" spans="1:14" x14ac:dyDescent="0.35">
      <c r="A58" t="s">
        <v>70</v>
      </c>
      <c r="B58" t="s">
        <v>570</v>
      </c>
      <c r="C58">
        <v>83</v>
      </c>
      <c r="D58" t="s">
        <v>1015</v>
      </c>
      <c r="E58" t="s">
        <v>1020</v>
      </c>
      <c r="F58" t="s">
        <v>1027</v>
      </c>
      <c r="G58" t="s">
        <v>1034</v>
      </c>
      <c r="H58" s="2">
        <v>45753</v>
      </c>
      <c r="I58" s="2">
        <v>45757</v>
      </c>
      <c r="J58">
        <v>402159</v>
      </c>
      <c r="K58">
        <v>4</v>
      </c>
      <c r="L58">
        <v>2</v>
      </c>
      <c r="M58">
        <v>3</v>
      </c>
      <c r="N58">
        <v>0</v>
      </c>
    </row>
    <row r="59" spans="1:14" x14ac:dyDescent="0.35">
      <c r="A59" t="s">
        <v>71</v>
      </c>
      <c r="B59" t="s">
        <v>571</v>
      </c>
      <c r="C59">
        <v>2</v>
      </c>
      <c r="D59" t="s">
        <v>1015</v>
      </c>
      <c r="E59" t="s">
        <v>1021</v>
      </c>
      <c r="F59" t="s">
        <v>1028</v>
      </c>
      <c r="G59" t="s">
        <v>1035</v>
      </c>
      <c r="H59" s="2">
        <v>45794</v>
      </c>
      <c r="I59" s="2">
        <v>45808</v>
      </c>
      <c r="J59">
        <v>88033</v>
      </c>
      <c r="K59">
        <v>3</v>
      </c>
      <c r="L59">
        <v>1</v>
      </c>
      <c r="M59">
        <v>4</v>
      </c>
      <c r="N59">
        <v>269687</v>
      </c>
    </row>
    <row r="60" spans="1:14" x14ac:dyDescent="0.35">
      <c r="A60" t="s">
        <v>72</v>
      </c>
      <c r="B60" t="s">
        <v>572</v>
      </c>
      <c r="C60">
        <v>65</v>
      </c>
      <c r="D60" t="s">
        <v>1015</v>
      </c>
      <c r="E60" t="s">
        <v>1018</v>
      </c>
      <c r="F60" t="s">
        <v>1025</v>
      </c>
      <c r="G60" t="s">
        <v>1044</v>
      </c>
      <c r="H60" s="2">
        <v>45791</v>
      </c>
      <c r="I60" s="2">
        <v>45801</v>
      </c>
      <c r="J60">
        <v>161754</v>
      </c>
      <c r="K60">
        <v>5</v>
      </c>
      <c r="L60">
        <v>4</v>
      </c>
      <c r="M60">
        <v>1</v>
      </c>
      <c r="N60">
        <v>0</v>
      </c>
    </row>
    <row r="61" spans="1:14" x14ac:dyDescent="0.35">
      <c r="A61" t="s">
        <v>73</v>
      </c>
      <c r="B61" t="s">
        <v>573</v>
      </c>
      <c r="C61">
        <v>48</v>
      </c>
      <c r="D61" t="s">
        <v>1015</v>
      </c>
      <c r="E61" t="s">
        <v>1021</v>
      </c>
      <c r="F61" t="s">
        <v>1028</v>
      </c>
      <c r="G61" t="s">
        <v>1035</v>
      </c>
      <c r="H61" s="2">
        <v>45799</v>
      </c>
      <c r="I61" s="2">
        <v>45802</v>
      </c>
      <c r="J61">
        <v>178075</v>
      </c>
      <c r="K61">
        <v>7</v>
      </c>
      <c r="L61">
        <v>19</v>
      </c>
      <c r="M61">
        <v>3</v>
      </c>
      <c r="N61">
        <v>179024</v>
      </c>
    </row>
    <row r="62" spans="1:14" x14ac:dyDescent="0.35">
      <c r="A62" t="s">
        <v>74</v>
      </c>
      <c r="B62" t="s">
        <v>574</v>
      </c>
      <c r="C62">
        <v>39</v>
      </c>
      <c r="D62" t="s">
        <v>1014</v>
      </c>
      <c r="E62" t="s">
        <v>1020</v>
      </c>
      <c r="F62" t="s">
        <v>1027</v>
      </c>
      <c r="G62" t="s">
        <v>1034</v>
      </c>
      <c r="H62" s="2">
        <v>45764</v>
      </c>
      <c r="I62" s="2">
        <v>45779</v>
      </c>
      <c r="J62">
        <v>334802</v>
      </c>
      <c r="K62">
        <v>2</v>
      </c>
      <c r="L62">
        <v>12</v>
      </c>
      <c r="M62">
        <v>4</v>
      </c>
      <c r="N62">
        <v>0</v>
      </c>
    </row>
    <row r="63" spans="1:14" x14ac:dyDescent="0.35">
      <c r="A63" t="s">
        <v>75</v>
      </c>
      <c r="B63" t="s">
        <v>575</v>
      </c>
      <c r="C63">
        <v>34</v>
      </c>
      <c r="D63" t="s">
        <v>1014</v>
      </c>
      <c r="E63" t="s">
        <v>1016</v>
      </c>
      <c r="F63" t="s">
        <v>1023</v>
      </c>
      <c r="G63" t="s">
        <v>1030</v>
      </c>
      <c r="H63" s="2">
        <v>45762</v>
      </c>
      <c r="I63" s="2">
        <v>45765</v>
      </c>
      <c r="J63">
        <v>120407</v>
      </c>
      <c r="K63">
        <v>9</v>
      </c>
      <c r="L63">
        <v>6</v>
      </c>
      <c r="M63">
        <v>3</v>
      </c>
      <c r="N63">
        <v>0</v>
      </c>
    </row>
    <row r="64" spans="1:14" x14ac:dyDescent="0.35">
      <c r="A64" t="s">
        <v>76</v>
      </c>
      <c r="B64" t="s">
        <v>576</v>
      </c>
      <c r="C64">
        <v>35</v>
      </c>
      <c r="D64" t="s">
        <v>1015</v>
      </c>
      <c r="E64" t="s">
        <v>1016</v>
      </c>
      <c r="F64" t="s">
        <v>1023</v>
      </c>
      <c r="G64" t="s">
        <v>1030</v>
      </c>
      <c r="H64" s="2">
        <v>45769</v>
      </c>
      <c r="I64" s="2">
        <v>45779</v>
      </c>
      <c r="J64">
        <v>131499</v>
      </c>
      <c r="K64">
        <v>5</v>
      </c>
      <c r="L64">
        <v>11</v>
      </c>
      <c r="M64">
        <v>2</v>
      </c>
      <c r="N64">
        <v>0</v>
      </c>
    </row>
    <row r="65" spans="1:14" x14ac:dyDescent="0.35">
      <c r="A65" t="s">
        <v>77</v>
      </c>
      <c r="B65" t="s">
        <v>577</v>
      </c>
      <c r="C65">
        <v>88</v>
      </c>
      <c r="D65" t="s">
        <v>1015</v>
      </c>
      <c r="E65" t="s">
        <v>1016</v>
      </c>
      <c r="F65" t="s">
        <v>1023</v>
      </c>
      <c r="G65" t="s">
        <v>1040</v>
      </c>
      <c r="H65" s="2">
        <v>45801</v>
      </c>
      <c r="I65" s="2">
        <v>45808</v>
      </c>
      <c r="J65">
        <v>156743</v>
      </c>
      <c r="K65">
        <v>4</v>
      </c>
      <c r="L65">
        <v>13</v>
      </c>
      <c r="M65">
        <v>1</v>
      </c>
      <c r="N65">
        <v>0</v>
      </c>
    </row>
    <row r="66" spans="1:14" x14ac:dyDescent="0.35">
      <c r="A66" t="s">
        <v>78</v>
      </c>
      <c r="B66" t="s">
        <v>578</v>
      </c>
      <c r="C66">
        <v>12</v>
      </c>
      <c r="D66" t="s">
        <v>1015</v>
      </c>
      <c r="E66" t="s">
        <v>1021</v>
      </c>
      <c r="F66" t="s">
        <v>1028</v>
      </c>
      <c r="G66" t="s">
        <v>1036</v>
      </c>
      <c r="H66" s="2">
        <v>45748</v>
      </c>
      <c r="I66" s="2">
        <v>45763</v>
      </c>
      <c r="J66">
        <v>76633</v>
      </c>
      <c r="K66">
        <v>6</v>
      </c>
      <c r="L66">
        <v>3</v>
      </c>
      <c r="M66">
        <v>1</v>
      </c>
      <c r="N66">
        <v>143345</v>
      </c>
    </row>
    <row r="67" spans="1:14" x14ac:dyDescent="0.35">
      <c r="A67" t="s">
        <v>79</v>
      </c>
      <c r="B67" t="s">
        <v>579</v>
      </c>
      <c r="C67">
        <v>17</v>
      </c>
      <c r="D67" t="s">
        <v>1015</v>
      </c>
      <c r="E67" t="s">
        <v>1018</v>
      </c>
      <c r="F67" t="s">
        <v>1025</v>
      </c>
      <c r="G67" t="s">
        <v>1044</v>
      </c>
      <c r="H67" s="2">
        <v>45757</v>
      </c>
      <c r="I67" s="2">
        <v>45759</v>
      </c>
      <c r="J67">
        <v>224879</v>
      </c>
      <c r="K67">
        <v>7</v>
      </c>
      <c r="L67">
        <v>7</v>
      </c>
      <c r="M67">
        <v>1</v>
      </c>
      <c r="N67">
        <v>0</v>
      </c>
    </row>
    <row r="68" spans="1:14" x14ac:dyDescent="0.35">
      <c r="A68" t="s">
        <v>80</v>
      </c>
      <c r="B68" t="s">
        <v>580</v>
      </c>
      <c r="C68">
        <v>55</v>
      </c>
      <c r="D68" t="s">
        <v>1014</v>
      </c>
      <c r="E68" t="s">
        <v>1016</v>
      </c>
      <c r="F68" t="s">
        <v>1023</v>
      </c>
      <c r="G68" t="s">
        <v>1030</v>
      </c>
      <c r="H68" s="2">
        <v>45752</v>
      </c>
      <c r="I68" s="2">
        <v>45761</v>
      </c>
      <c r="J68">
        <v>339239</v>
      </c>
      <c r="K68">
        <v>2</v>
      </c>
      <c r="L68">
        <v>8</v>
      </c>
      <c r="M68">
        <v>3</v>
      </c>
      <c r="N68">
        <v>0</v>
      </c>
    </row>
    <row r="69" spans="1:14" x14ac:dyDescent="0.35">
      <c r="A69" t="s">
        <v>81</v>
      </c>
      <c r="B69" t="s">
        <v>581</v>
      </c>
      <c r="C69">
        <v>70</v>
      </c>
      <c r="D69" t="s">
        <v>1014</v>
      </c>
      <c r="E69" t="s">
        <v>1018</v>
      </c>
      <c r="F69" t="s">
        <v>1025</v>
      </c>
      <c r="G69" t="s">
        <v>1037</v>
      </c>
      <c r="H69" s="2">
        <v>45783</v>
      </c>
      <c r="I69" s="2">
        <v>45796</v>
      </c>
      <c r="J69">
        <v>128147</v>
      </c>
      <c r="K69">
        <v>9</v>
      </c>
      <c r="L69">
        <v>2</v>
      </c>
      <c r="M69">
        <v>4</v>
      </c>
      <c r="N69">
        <v>0</v>
      </c>
    </row>
    <row r="70" spans="1:14" x14ac:dyDescent="0.35">
      <c r="A70" t="s">
        <v>82</v>
      </c>
      <c r="B70" t="s">
        <v>582</v>
      </c>
      <c r="C70">
        <v>56</v>
      </c>
      <c r="D70" t="s">
        <v>1014</v>
      </c>
      <c r="E70" t="s">
        <v>1019</v>
      </c>
      <c r="F70" t="s">
        <v>1026</v>
      </c>
      <c r="G70" t="s">
        <v>1033</v>
      </c>
      <c r="H70" s="2">
        <v>45798</v>
      </c>
      <c r="I70" s="2">
        <v>45808</v>
      </c>
      <c r="J70">
        <v>127643</v>
      </c>
      <c r="K70">
        <v>4</v>
      </c>
      <c r="L70">
        <v>3</v>
      </c>
      <c r="M70">
        <v>3</v>
      </c>
      <c r="N70">
        <v>0</v>
      </c>
    </row>
    <row r="71" spans="1:14" x14ac:dyDescent="0.35">
      <c r="A71" t="s">
        <v>83</v>
      </c>
      <c r="B71" t="s">
        <v>583</v>
      </c>
      <c r="C71">
        <v>6</v>
      </c>
      <c r="D71" t="s">
        <v>1015</v>
      </c>
      <c r="E71" t="s">
        <v>1021</v>
      </c>
      <c r="F71" t="s">
        <v>1028</v>
      </c>
      <c r="G71" t="s">
        <v>1035</v>
      </c>
      <c r="H71" s="2">
        <v>45768</v>
      </c>
      <c r="I71" s="2">
        <v>45775</v>
      </c>
      <c r="J71">
        <v>467397</v>
      </c>
      <c r="K71">
        <v>8</v>
      </c>
      <c r="L71">
        <v>12</v>
      </c>
      <c r="M71">
        <v>3</v>
      </c>
      <c r="N71">
        <v>164668</v>
      </c>
    </row>
    <row r="72" spans="1:14" x14ac:dyDescent="0.35">
      <c r="A72" t="s">
        <v>84</v>
      </c>
      <c r="B72" t="s">
        <v>584</v>
      </c>
      <c r="C72">
        <v>14</v>
      </c>
      <c r="D72" t="s">
        <v>1015</v>
      </c>
      <c r="E72" t="s">
        <v>1016</v>
      </c>
      <c r="F72" t="s">
        <v>1023</v>
      </c>
      <c r="G72" t="s">
        <v>1040</v>
      </c>
      <c r="H72" s="2">
        <v>45753</v>
      </c>
      <c r="I72" s="2">
        <v>45758</v>
      </c>
      <c r="J72">
        <v>399665</v>
      </c>
      <c r="K72">
        <v>8</v>
      </c>
      <c r="L72">
        <v>18</v>
      </c>
      <c r="M72">
        <v>1</v>
      </c>
      <c r="N72">
        <v>0</v>
      </c>
    </row>
    <row r="73" spans="1:14" x14ac:dyDescent="0.35">
      <c r="A73" t="s">
        <v>85</v>
      </c>
      <c r="B73" t="s">
        <v>585</v>
      </c>
      <c r="C73">
        <v>31</v>
      </c>
      <c r="D73" t="s">
        <v>1014</v>
      </c>
      <c r="E73" t="s">
        <v>1019</v>
      </c>
      <c r="F73" t="s">
        <v>1026</v>
      </c>
      <c r="G73" t="s">
        <v>1033</v>
      </c>
      <c r="H73" s="2">
        <v>45778</v>
      </c>
      <c r="I73" s="2">
        <v>45791</v>
      </c>
      <c r="J73">
        <v>131030</v>
      </c>
      <c r="K73">
        <v>4</v>
      </c>
      <c r="L73">
        <v>14</v>
      </c>
      <c r="M73">
        <v>4</v>
      </c>
      <c r="N73">
        <v>0</v>
      </c>
    </row>
    <row r="74" spans="1:14" x14ac:dyDescent="0.35">
      <c r="A74" t="s">
        <v>86</v>
      </c>
      <c r="B74" t="s">
        <v>586</v>
      </c>
      <c r="C74">
        <v>43</v>
      </c>
      <c r="D74" t="s">
        <v>1015</v>
      </c>
      <c r="E74" t="s">
        <v>1020</v>
      </c>
      <c r="F74" t="s">
        <v>1027</v>
      </c>
      <c r="G74" t="s">
        <v>1043</v>
      </c>
      <c r="H74" s="2">
        <v>45762</v>
      </c>
      <c r="I74" s="2">
        <v>45764</v>
      </c>
      <c r="J74">
        <v>144036</v>
      </c>
      <c r="K74">
        <v>1</v>
      </c>
      <c r="L74">
        <v>15</v>
      </c>
      <c r="M74">
        <v>3</v>
      </c>
      <c r="N74">
        <v>0</v>
      </c>
    </row>
    <row r="75" spans="1:14" x14ac:dyDescent="0.35">
      <c r="A75" t="s">
        <v>87</v>
      </c>
      <c r="B75" t="s">
        <v>587</v>
      </c>
      <c r="C75">
        <v>90</v>
      </c>
      <c r="D75" t="s">
        <v>1014</v>
      </c>
      <c r="E75" t="s">
        <v>1021</v>
      </c>
      <c r="F75" t="s">
        <v>1028</v>
      </c>
      <c r="G75" t="s">
        <v>1036</v>
      </c>
      <c r="H75" s="2">
        <v>45750</v>
      </c>
      <c r="I75" s="2">
        <v>45754</v>
      </c>
      <c r="J75">
        <v>462811</v>
      </c>
      <c r="K75">
        <v>2</v>
      </c>
      <c r="L75">
        <v>9</v>
      </c>
      <c r="M75">
        <v>2</v>
      </c>
      <c r="N75">
        <v>145336</v>
      </c>
    </row>
    <row r="76" spans="1:14" x14ac:dyDescent="0.35">
      <c r="A76" t="s">
        <v>88</v>
      </c>
      <c r="B76" t="s">
        <v>588</v>
      </c>
      <c r="C76">
        <v>29</v>
      </c>
      <c r="D76" t="s">
        <v>1014</v>
      </c>
      <c r="E76" t="s">
        <v>1022</v>
      </c>
      <c r="F76" t="s">
        <v>1029</v>
      </c>
      <c r="G76" t="s">
        <v>1041</v>
      </c>
      <c r="H76" s="2">
        <v>45791</v>
      </c>
      <c r="I76" s="2">
        <v>45793</v>
      </c>
      <c r="J76">
        <v>296777</v>
      </c>
      <c r="K76">
        <v>9</v>
      </c>
      <c r="L76">
        <v>5</v>
      </c>
      <c r="M76">
        <v>4</v>
      </c>
      <c r="N76">
        <v>0</v>
      </c>
    </row>
    <row r="77" spans="1:14" x14ac:dyDescent="0.35">
      <c r="A77" t="s">
        <v>89</v>
      </c>
      <c r="B77" t="s">
        <v>589</v>
      </c>
      <c r="C77">
        <v>30</v>
      </c>
      <c r="D77" t="s">
        <v>1014</v>
      </c>
      <c r="E77" t="s">
        <v>1021</v>
      </c>
      <c r="F77" t="s">
        <v>1028</v>
      </c>
      <c r="G77" t="s">
        <v>1035</v>
      </c>
      <c r="H77" s="2">
        <v>45754</v>
      </c>
      <c r="I77" s="2">
        <v>45760</v>
      </c>
      <c r="J77">
        <v>480197</v>
      </c>
      <c r="K77">
        <v>8</v>
      </c>
      <c r="L77">
        <v>3</v>
      </c>
      <c r="M77">
        <v>1</v>
      </c>
      <c r="N77">
        <v>133852</v>
      </c>
    </row>
    <row r="78" spans="1:14" x14ac:dyDescent="0.35">
      <c r="A78" t="s">
        <v>90</v>
      </c>
      <c r="B78" t="s">
        <v>590</v>
      </c>
      <c r="C78">
        <v>43</v>
      </c>
      <c r="D78" t="s">
        <v>1015</v>
      </c>
      <c r="E78" t="s">
        <v>1016</v>
      </c>
      <c r="F78" t="s">
        <v>1023</v>
      </c>
      <c r="G78" t="s">
        <v>1030</v>
      </c>
      <c r="H78" s="2">
        <v>45757</v>
      </c>
      <c r="I78" s="2">
        <v>45762</v>
      </c>
      <c r="J78">
        <v>258910</v>
      </c>
      <c r="K78">
        <v>4</v>
      </c>
      <c r="L78">
        <v>9</v>
      </c>
      <c r="M78">
        <v>4</v>
      </c>
      <c r="N78">
        <v>0</v>
      </c>
    </row>
    <row r="79" spans="1:14" x14ac:dyDescent="0.35">
      <c r="A79" t="s">
        <v>91</v>
      </c>
      <c r="B79" t="s">
        <v>591</v>
      </c>
      <c r="C79">
        <v>83</v>
      </c>
      <c r="D79" t="s">
        <v>1015</v>
      </c>
      <c r="E79" t="s">
        <v>1022</v>
      </c>
      <c r="F79" t="s">
        <v>1029</v>
      </c>
      <c r="G79" t="s">
        <v>1041</v>
      </c>
      <c r="H79" s="2">
        <v>45778</v>
      </c>
      <c r="I79" s="2">
        <v>45784</v>
      </c>
      <c r="J79">
        <v>234101</v>
      </c>
      <c r="K79">
        <v>1</v>
      </c>
      <c r="L79">
        <v>17</v>
      </c>
      <c r="M79">
        <v>4</v>
      </c>
      <c r="N79">
        <v>0</v>
      </c>
    </row>
    <row r="80" spans="1:14" x14ac:dyDescent="0.35">
      <c r="A80" t="s">
        <v>92</v>
      </c>
      <c r="B80" t="s">
        <v>592</v>
      </c>
      <c r="C80">
        <v>23</v>
      </c>
      <c r="D80" t="s">
        <v>1015</v>
      </c>
      <c r="E80" t="s">
        <v>1018</v>
      </c>
      <c r="F80" t="s">
        <v>1025</v>
      </c>
      <c r="G80" t="s">
        <v>1044</v>
      </c>
      <c r="H80" s="2">
        <v>45781</v>
      </c>
      <c r="I80" s="2">
        <v>45784</v>
      </c>
      <c r="J80">
        <v>186951</v>
      </c>
      <c r="K80">
        <v>9</v>
      </c>
      <c r="L80">
        <v>16</v>
      </c>
      <c r="M80">
        <v>4</v>
      </c>
      <c r="N80">
        <v>0</v>
      </c>
    </row>
    <row r="81" spans="1:14" x14ac:dyDescent="0.35">
      <c r="A81" t="s">
        <v>93</v>
      </c>
      <c r="B81" t="s">
        <v>593</v>
      </c>
      <c r="C81">
        <v>45</v>
      </c>
      <c r="D81" t="s">
        <v>1015</v>
      </c>
      <c r="E81" t="s">
        <v>1018</v>
      </c>
      <c r="F81" t="s">
        <v>1025</v>
      </c>
      <c r="G81" t="s">
        <v>1037</v>
      </c>
      <c r="H81" s="2">
        <v>45773</v>
      </c>
      <c r="I81" s="2">
        <v>45784</v>
      </c>
      <c r="J81">
        <v>277836</v>
      </c>
      <c r="K81">
        <v>3</v>
      </c>
      <c r="L81">
        <v>12</v>
      </c>
      <c r="M81">
        <v>1</v>
      </c>
      <c r="N81">
        <v>0</v>
      </c>
    </row>
    <row r="82" spans="1:14" x14ac:dyDescent="0.35">
      <c r="A82" t="s">
        <v>94</v>
      </c>
      <c r="B82" t="s">
        <v>594</v>
      </c>
      <c r="C82">
        <v>50</v>
      </c>
      <c r="D82" t="s">
        <v>1014</v>
      </c>
      <c r="E82" t="s">
        <v>1019</v>
      </c>
      <c r="F82" t="s">
        <v>1026</v>
      </c>
      <c r="G82" t="s">
        <v>1038</v>
      </c>
      <c r="H82" s="2">
        <v>45786</v>
      </c>
      <c r="I82" s="2">
        <v>45796</v>
      </c>
      <c r="J82">
        <v>110631</v>
      </c>
      <c r="K82">
        <v>8</v>
      </c>
      <c r="L82">
        <v>12</v>
      </c>
      <c r="M82">
        <v>1</v>
      </c>
      <c r="N82">
        <v>0</v>
      </c>
    </row>
    <row r="83" spans="1:14" x14ac:dyDescent="0.35">
      <c r="A83" t="s">
        <v>95</v>
      </c>
      <c r="B83" t="s">
        <v>595</v>
      </c>
      <c r="C83">
        <v>1</v>
      </c>
      <c r="D83" t="s">
        <v>1014</v>
      </c>
      <c r="E83" t="s">
        <v>1018</v>
      </c>
      <c r="F83" t="s">
        <v>1025</v>
      </c>
      <c r="G83" t="s">
        <v>1037</v>
      </c>
      <c r="H83" s="2">
        <v>45787</v>
      </c>
      <c r="I83" s="2">
        <v>45800</v>
      </c>
      <c r="J83">
        <v>278619</v>
      </c>
      <c r="K83">
        <v>3</v>
      </c>
      <c r="L83">
        <v>18</v>
      </c>
      <c r="M83">
        <v>1</v>
      </c>
      <c r="N83">
        <v>0</v>
      </c>
    </row>
    <row r="84" spans="1:14" x14ac:dyDescent="0.35">
      <c r="A84" t="s">
        <v>96</v>
      </c>
      <c r="B84" t="s">
        <v>596</v>
      </c>
      <c r="C84">
        <v>43</v>
      </c>
      <c r="D84" t="s">
        <v>1015</v>
      </c>
      <c r="E84" t="s">
        <v>1020</v>
      </c>
      <c r="F84" t="s">
        <v>1027</v>
      </c>
      <c r="G84" t="s">
        <v>1043</v>
      </c>
      <c r="H84" s="2">
        <v>45771</v>
      </c>
      <c r="I84" s="2">
        <v>45774</v>
      </c>
      <c r="J84">
        <v>398251</v>
      </c>
      <c r="K84">
        <v>5</v>
      </c>
      <c r="L84">
        <v>5</v>
      </c>
      <c r="M84">
        <v>1</v>
      </c>
      <c r="N84">
        <v>0</v>
      </c>
    </row>
    <row r="85" spans="1:14" x14ac:dyDescent="0.35">
      <c r="A85" t="s">
        <v>97</v>
      </c>
      <c r="B85" t="s">
        <v>597</v>
      </c>
      <c r="C85">
        <v>40</v>
      </c>
      <c r="D85" t="s">
        <v>1015</v>
      </c>
      <c r="E85" t="s">
        <v>1016</v>
      </c>
      <c r="F85" t="s">
        <v>1023</v>
      </c>
      <c r="G85" t="s">
        <v>1040</v>
      </c>
      <c r="H85" s="2">
        <v>45762</v>
      </c>
      <c r="I85" s="2">
        <v>45768</v>
      </c>
      <c r="J85">
        <v>315878</v>
      </c>
      <c r="K85">
        <v>4</v>
      </c>
      <c r="L85">
        <v>2</v>
      </c>
      <c r="M85">
        <v>4</v>
      </c>
      <c r="N85">
        <v>0</v>
      </c>
    </row>
    <row r="86" spans="1:14" x14ac:dyDescent="0.35">
      <c r="A86" t="s">
        <v>98</v>
      </c>
      <c r="B86" t="s">
        <v>598</v>
      </c>
      <c r="C86">
        <v>71</v>
      </c>
      <c r="D86" t="s">
        <v>1014</v>
      </c>
      <c r="E86" t="s">
        <v>1020</v>
      </c>
      <c r="F86" t="s">
        <v>1027</v>
      </c>
      <c r="G86" t="s">
        <v>1043</v>
      </c>
      <c r="H86" s="2">
        <v>45777</v>
      </c>
      <c r="I86" s="2">
        <v>45790</v>
      </c>
      <c r="J86">
        <v>205008</v>
      </c>
      <c r="K86">
        <v>5</v>
      </c>
      <c r="L86">
        <v>14</v>
      </c>
      <c r="M86">
        <v>1</v>
      </c>
      <c r="N86">
        <v>0</v>
      </c>
    </row>
    <row r="87" spans="1:14" x14ac:dyDescent="0.35">
      <c r="A87" t="s">
        <v>99</v>
      </c>
      <c r="B87" t="s">
        <v>599</v>
      </c>
      <c r="C87">
        <v>87</v>
      </c>
      <c r="D87" t="s">
        <v>1014</v>
      </c>
      <c r="E87" t="s">
        <v>1020</v>
      </c>
      <c r="F87" t="s">
        <v>1027</v>
      </c>
      <c r="G87" t="s">
        <v>1034</v>
      </c>
      <c r="H87" s="2">
        <v>45748</v>
      </c>
      <c r="I87" s="2">
        <v>45760</v>
      </c>
      <c r="J87">
        <v>248781</v>
      </c>
      <c r="K87">
        <v>6</v>
      </c>
      <c r="L87">
        <v>4</v>
      </c>
      <c r="M87">
        <v>1</v>
      </c>
      <c r="N87">
        <v>0</v>
      </c>
    </row>
    <row r="88" spans="1:14" x14ac:dyDescent="0.35">
      <c r="A88" t="s">
        <v>100</v>
      </c>
      <c r="B88" t="s">
        <v>600</v>
      </c>
      <c r="C88">
        <v>1</v>
      </c>
      <c r="D88" t="s">
        <v>1015</v>
      </c>
      <c r="E88" t="s">
        <v>1020</v>
      </c>
      <c r="F88" t="s">
        <v>1027</v>
      </c>
      <c r="G88" t="s">
        <v>1034</v>
      </c>
      <c r="H88" s="2">
        <v>45747</v>
      </c>
      <c r="I88" s="2">
        <v>45757</v>
      </c>
      <c r="J88">
        <v>487112</v>
      </c>
      <c r="K88">
        <v>3</v>
      </c>
      <c r="L88">
        <v>12</v>
      </c>
      <c r="M88">
        <v>4</v>
      </c>
      <c r="N88">
        <v>0</v>
      </c>
    </row>
    <row r="89" spans="1:14" x14ac:dyDescent="0.35">
      <c r="A89" t="s">
        <v>101</v>
      </c>
      <c r="B89" t="s">
        <v>601</v>
      </c>
      <c r="C89">
        <v>75</v>
      </c>
      <c r="D89" t="s">
        <v>1015</v>
      </c>
      <c r="E89" t="s">
        <v>1017</v>
      </c>
      <c r="F89" t="s">
        <v>1024</v>
      </c>
      <c r="G89" t="s">
        <v>1031</v>
      </c>
      <c r="H89" s="2">
        <v>45782</v>
      </c>
      <c r="I89" s="2">
        <v>45790</v>
      </c>
      <c r="J89">
        <v>461963</v>
      </c>
      <c r="K89">
        <v>3</v>
      </c>
      <c r="L89">
        <v>2</v>
      </c>
      <c r="M89">
        <v>3</v>
      </c>
      <c r="N89">
        <v>0</v>
      </c>
    </row>
    <row r="90" spans="1:14" x14ac:dyDescent="0.35">
      <c r="A90" t="s">
        <v>102</v>
      </c>
      <c r="B90" t="s">
        <v>602</v>
      </c>
      <c r="C90">
        <v>28</v>
      </c>
      <c r="D90" t="s">
        <v>1015</v>
      </c>
      <c r="E90" t="s">
        <v>1020</v>
      </c>
      <c r="F90" t="s">
        <v>1027</v>
      </c>
      <c r="G90" t="s">
        <v>1043</v>
      </c>
      <c r="H90" s="2">
        <v>45790</v>
      </c>
      <c r="I90" s="2">
        <v>45799</v>
      </c>
      <c r="J90">
        <v>404223</v>
      </c>
      <c r="K90">
        <v>3</v>
      </c>
      <c r="L90">
        <v>4</v>
      </c>
      <c r="M90">
        <v>4</v>
      </c>
      <c r="N90">
        <v>0</v>
      </c>
    </row>
    <row r="91" spans="1:14" x14ac:dyDescent="0.35">
      <c r="A91" t="s">
        <v>103</v>
      </c>
      <c r="B91" t="s">
        <v>603</v>
      </c>
      <c r="C91">
        <v>66</v>
      </c>
      <c r="D91" t="s">
        <v>1015</v>
      </c>
      <c r="E91" t="s">
        <v>1016</v>
      </c>
      <c r="F91" t="s">
        <v>1023</v>
      </c>
      <c r="G91" t="s">
        <v>1030</v>
      </c>
      <c r="H91" s="2">
        <v>45747</v>
      </c>
      <c r="I91" s="2">
        <v>45750</v>
      </c>
      <c r="J91">
        <v>198785</v>
      </c>
      <c r="K91">
        <v>6</v>
      </c>
      <c r="L91">
        <v>10</v>
      </c>
      <c r="M91">
        <v>4</v>
      </c>
      <c r="N91">
        <v>0</v>
      </c>
    </row>
    <row r="92" spans="1:14" x14ac:dyDescent="0.35">
      <c r="A92" t="s">
        <v>104</v>
      </c>
      <c r="B92" t="s">
        <v>604</v>
      </c>
      <c r="C92">
        <v>87</v>
      </c>
      <c r="D92" t="s">
        <v>1015</v>
      </c>
      <c r="E92" t="s">
        <v>1022</v>
      </c>
      <c r="F92" t="s">
        <v>1029</v>
      </c>
      <c r="G92" t="s">
        <v>1039</v>
      </c>
      <c r="H92" s="2">
        <v>45792</v>
      </c>
      <c r="I92" s="2">
        <v>45806</v>
      </c>
      <c r="J92">
        <v>173138</v>
      </c>
      <c r="K92">
        <v>1</v>
      </c>
      <c r="L92">
        <v>11</v>
      </c>
      <c r="M92">
        <v>4</v>
      </c>
      <c r="N92">
        <v>0</v>
      </c>
    </row>
    <row r="93" spans="1:14" x14ac:dyDescent="0.35">
      <c r="A93" t="s">
        <v>105</v>
      </c>
      <c r="B93" t="s">
        <v>605</v>
      </c>
      <c r="C93">
        <v>4</v>
      </c>
      <c r="D93" t="s">
        <v>1014</v>
      </c>
      <c r="E93" t="s">
        <v>1022</v>
      </c>
      <c r="F93" t="s">
        <v>1029</v>
      </c>
      <c r="G93" t="s">
        <v>1039</v>
      </c>
      <c r="H93" s="2">
        <v>45764</v>
      </c>
      <c r="I93" s="2">
        <v>45769</v>
      </c>
      <c r="J93">
        <v>127255</v>
      </c>
      <c r="K93">
        <v>6</v>
      </c>
      <c r="L93">
        <v>6</v>
      </c>
      <c r="M93">
        <v>2</v>
      </c>
      <c r="N93">
        <v>0</v>
      </c>
    </row>
    <row r="94" spans="1:14" x14ac:dyDescent="0.35">
      <c r="A94" t="s">
        <v>106</v>
      </c>
      <c r="B94" t="s">
        <v>606</v>
      </c>
      <c r="C94">
        <v>10</v>
      </c>
      <c r="D94" t="s">
        <v>1015</v>
      </c>
      <c r="E94" t="s">
        <v>1020</v>
      </c>
      <c r="F94" t="s">
        <v>1027</v>
      </c>
      <c r="G94" t="s">
        <v>1034</v>
      </c>
      <c r="H94" s="2">
        <v>45757</v>
      </c>
      <c r="I94" s="2">
        <v>45768</v>
      </c>
      <c r="J94">
        <v>495507</v>
      </c>
      <c r="K94">
        <v>4</v>
      </c>
      <c r="L94">
        <v>9</v>
      </c>
      <c r="M94">
        <v>3</v>
      </c>
      <c r="N94">
        <v>0</v>
      </c>
    </row>
    <row r="95" spans="1:14" x14ac:dyDescent="0.35">
      <c r="A95" t="s">
        <v>107</v>
      </c>
      <c r="B95" t="s">
        <v>607</v>
      </c>
      <c r="C95">
        <v>90</v>
      </c>
      <c r="D95" t="s">
        <v>1015</v>
      </c>
      <c r="E95" t="s">
        <v>1016</v>
      </c>
      <c r="F95" t="s">
        <v>1023</v>
      </c>
      <c r="G95" t="s">
        <v>1040</v>
      </c>
      <c r="H95" s="2">
        <v>45747</v>
      </c>
      <c r="I95" s="2">
        <v>45758</v>
      </c>
      <c r="J95">
        <v>151940</v>
      </c>
      <c r="K95">
        <v>6</v>
      </c>
      <c r="L95">
        <v>8</v>
      </c>
      <c r="M95">
        <v>1</v>
      </c>
      <c r="N95">
        <v>0</v>
      </c>
    </row>
    <row r="96" spans="1:14" x14ac:dyDescent="0.35">
      <c r="A96" t="s">
        <v>108</v>
      </c>
      <c r="B96" t="s">
        <v>608</v>
      </c>
      <c r="C96">
        <v>84</v>
      </c>
      <c r="D96" t="s">
        <v>1014</v>
      </c>
      <c r="E96" t="s">
        <v>1020</v>
      </c>
      <c r="F96" t="s">
        <v>1027</v>
      </c>
      <c r="G96" t="s">
        <v>1043</v>
      </c>
      <c r="H96" s="2">
        <v>45802</v>
      </c>
      <c r="I96" s="2">
        <v>45807</v>
      </c>
      <c r="J96">
        <v>127369</v>
      </c>
      <c r="K96">
        <v>9</v>
      </c>
      <c r="L96">
        <v>6</v>
      </c>
      <c r="M96">
        <v>2</v>
      </c>
      <c r="N96">
        <v>0</v>
      </c>
    </row>
    <row r="97" spans="1:14" x14ac:dyDescent="0.35">
      <c r="A97" t="s">
        <v>109</v>
      </c>
      <c r="B97" t="s">
        <v>609</v>
      </c>
      <c r="C97">
        <v>23</v>
      </c>
      <c r="D97" t="s">
        <v>1015</v>
      </c>
      <c r="E97" t="s">
        <v>1022</v>
      </c>
      <c r="F97" t="s">
        <v>1029</v>
      </c>
      <c r="G97" t="s">
        <v>1039</v>
      </c>
      <c r="H97" s="2">
        <v>45781</v>
      </c>
      <c r="I97" s="2">
        <v>45789</v>
      </c>
      <c r="J97">
        <v>164735</v>
      </c>
      <c r="K97">
        <v>2</v>
      </c>
      <c r="L97">
        <v>14</v>
      </c>
      <c r="M97">
        <v>4</v>
      </c>
      <c r="N97">
        <v>0</v>
      </c>
    </row>
    <row r="98" spans="1:14" x14ac:dyDescent="0.35">
      <c r="A98" t="s">
        <v>110</v>
      </c>
      <c r="B98" t="s">
        <v>610</v>
      </c>
      <c r="C98">
        <v>16</v>
      </c>
      <c r="D98" t="s">
        <v>1015</v>
      </c>
      <c r="E98" t="s">
        <v>1019</v>
      </c>
      <c r="F98" t="s">
        <v>1026</v>
      </c>
      <c r="G98" t="s">
        <v>1033</v>
      </c>
      <c r="H98" s="2">
        <v>45776</v>
      </c>
      <c r="I98" s="2">
        <v>45781</v>
      </c>
      <c r="J98">
        <v>494772</v>
      </c>
      <c r="K98">
        <v>1</v>
      </c>
      <c r="L98">
        <v>16</v>
      </c>
      <c r="M98">
        <v>3</v>
      </c>
      <c r="N98">
        <v>0</v>
      </c>
    </row>
    <row r="99" spans="1:14" x14ac:dyDescent="0.35">
      <c r="A99" t="s">
        <v>111</v>
      </c>
      <c r="B99" t="s">
        <v>611</v>
      </c>
      <c r="C99">
        <v>68</v>
      </c>
      <c r="D99" t="s">
        <v>1015</v>
      </c>
      <c r="E99" t="s">
        <v>1022</v>
      </c>
      <c r="F99" t="s">
        <v>1029</v>
      </c>
      <c r="G99" t="s">
        <v>1041</v>
      </c>
      <c r="H99" s="2">
        <v>45797</v>
      </c>
      <c r="I99" s="2">
        <v>45806</v>
      </c>
      <c r="J99">
        <v>400002</v>
      </c>
      <c r="K99">
        <v>7</v>
      </c>
      <c r="L99">
        <v>12</v>
      </c>
      <c r="M99">
        <v>2</v>
      </c>
      <c r="N99">
        <v>0</v>
      </c>
    </row>
    <row r="100" spans="1:14" x14ac:dyDescent="0.35">
      <c r="A100" t="s">
        <v>112</v>
      </c>
      <c r="B100" t="s">
        <v>612</v>
      </c>
      <c r="C100">
        <v>65</v>
      </c>
      <c r="D100" t="s">
        <v>1015</v>
      </c>
      <c r="E100" t="s">
        <v>1019</v>
      </c>
      <c r="F100" t="s">
        <v>1026</v>
      </c>
      <c r="G100" t="s">
        <v>1038</v>
      </c>
      <c r="H100" s="2">
        <v>45780</v>
      </c>
      <c r="I100" s="2">
        <v>45795</v>
      </c>
      <c r="J100">
        <v>427106</v>
      </c>
      <c r="K100">
        <v>5</v>
      </c>
      <c r="L100">
        <v>18</v>
      </c>
      <c r="M100">
        <v>3</v>
      </c>
      <c r="N100">
        <v>0</v>
      </c>
    </row>
    <row r="101" spans="1:14" x14ac:dyDescent="0.35">
      <c r="A101" t="s">
        <v>113</v>
      </c>
      <c r="B101" t="s">
        <v>613</v>
      </c>
      <c r="C101">
        <v>58</v>
      </c>
      <c r="D101" t="s">
        <v>1015</v>
      </c>
      <c r="E101" t="s">
        <v>1017</v>
      </c>
      <c r="F101" t="s">
        <v>1024</v>
      </c>
      <c r="G101" t="s">
        <v>1042</v>
      </c>
      <c r="H101" s="2">
        <v>45765</v>
      </c>
      <c r="I101" s="2">
        <v>45778</v>
      </c>
      <c r="J101">
        <v>298866</v>
      </c>
      <c r="K101">
        <v>6</v>
      </c>
      <c r="L101">
        <v>16</v>
      </c>
      <c r="M101">
        <v>3</v>
      </c>
      <c r="N101">
        <v>0</v>
      </c>
    </row>
    <row r="102" spans="1:14" x14ac:dyDescent="0.35">
      <c r="A102" t="s">
        <v>114</v>
      </c>
      <c r="B102" t="s">
        <v>614</v>
      </c>
      <c r="C102">
        <v>67</v>
      </c>
      <c r="D102" t="s">
        <v>1015</v>
      </c>
      <c r="E102" t="s">
        <v>1022</v>
      </c>
      <c r="F102" t="s">
        <v>1029</v>
      </c>
      <c r="G102" t="s">
        <v>1039</v>
      </c>
      <c r="H102" s="2">
        <v>45771</v>
      </c>
      <c r="I102" s="2">
        <v>45783</v>
      </c>
      <c r="J102">
        <v>195391</v>
      </c>
      <c r="K102">
        <v>1</v>
      </c>
      <c r="L102">
        <v>3</v>
      </c>
      <c r="M102">
        <v>2</v>
      </c>
      <c r="N102">
        <v>0</v>
      </c>
    </row>
    <row r="103" spans="1:14" x14ac:dyDescent="0.35">
      <c r="A103" t="s">
        <v>115</v>
      </c>
      <c r="B103" t="s">
        <v>615</v>
      </c>
      <c r="C103">
        <v>37</v>
      </c>
      <c r="D103" t="s">
        <v>1014</v>
      </c>
      <c r="E103" t="s">
        <v>1021</v>
      </c>
      <c r="F103" t="s">
        <v>1028</v>
      </c>
      <c r="G103" t="s">
        <v>1036</v>
      </c>
      <c r="H103" s="2">
        <v>45750</v>
      </c>
      <c r="I103" s="2">
        <v>45759</v>
      </c>
      <c r="J103">
        <v>90623</v>
      </c>
      <c r="K103">
        <v>8</v>
      </c>
      <c r="L103">
        <v>17</v>
      </c>
      <c r="M103">
        <v>2</v>
      </c>
      <c r="N103">
        <v>199345</v>
      </c>
    </row>
    <row r="104" spans="1:14" x14ac:dyDescent="0.35">
      <c r="A104" t="s">
        <v>116</v>
      </c>
      <c r="B104" t="s">
        <v>616</v>
      </c>
      <c r="C104">
        <v>11</v>
      </c>
      <c r="D104" t="s">
        <v>1014</v>
      </c>
      <c r="E104" t="s">
        <v>1021</v>
      </c>
      <c r="F104" t="s">
        <v>1028</v>
      </c>
      <c r="G104" t="s">
        <v>1035</v>
      </c>
      <c r="H104" s="2">
        <v>45758</v>
      </c>
      <c r="I104" s="2">
        <v>45765</v>
      </c>
      <c r="J104">
        <v>333195</v>
      </c>
      <c r="K104">
        <v>4</v>
      </c>
      <c r="L104">
        <v>9</v>
      </c>
      <c r="M104">
        <v>4</v>
      </c>
      <c r="N104">
        <v>188818</v>
      </c>
    </row>
    <row r="105" spans="1:14" x14ac:dyDescent="0.35">
      <c r="A105" t="s">
        <v>117</v>
      </c>
      <c r="B105" t="s">
        <v>617</v>
      </c>
      <c r="C105">
        <v>20</v>
      </c>
      <c r="D105" t="s">
        <v>1014</v>
      </c>
      <c r="E105" t="s">
        <v>1017</v>
      </c>
      <c r="F105" t="s">
        <v>1024</v>
      </c>
      <c r="G105" t="s">
        <v>1042</v>
      </c>
      <c r="H105" s="2">
        <v>45779</v>
      </c>
      <c r="I105" s="2">
        <v>45787</v>
      </c>
      <c r="J105">
        <v>413829</v>
      </c>
      <c r="K105">
        <v>3</v>
      </c>
      <c r="L105">
        <v>1</v>
      </c>
      <c r="M105">
        <v>4</v>
      </c>
      <c r="N105">
        <v>0</v>
      </c>
    </row>
    <row r="106" spans="1:14" x14ac:dyDescent="0.35">
      <c r="A106" t="s">
        <v>118</v>
      </c>
      <c r="B106" t="s">
        <v>618</v>
      </c>
      <c r="C106">
        <v>70</v>
      </c>
      <c r="D106" t="s">
        <v>1015</v>
      </c>
      <c r="E106" t="s">
        <v>1020</v>
      </c>
      <c r="F106" t="s">
        <v>1027</v>
      </c>
      <c r="G106" t="s">
        <v>1034</v>
      </c>
      <c r="H106" s="2">
        <v>45784</v>
      </c>
      <c r="I106" s="2">
        <v>45792</v>
      </c>
      <c r="J106">
        <v>223477</v>
      </c>
      <c r="K106">
        <v>1</v>
      </c>
      <c r="L106">
        <v>11</v>
      </c>
      <c r="M106">
        <v>1</v>
      </c>
      <c r="N106">
        <v>0</v>
      </c>
    </row>
    <row r="107" spans="1:14" x14ac:dyDescent="0.35">
      <c r="A107" t="s">
        <v>119</v>
      </c>
      <c r="B107" t="s">
        <v>619</v>
      </c>
      <c r="C107">
        <v>54</v>
      </c>
      <c r="D107" t="s">
        <v>1015</v>
      </c>
      <c r="E107" t="s">
        <v>1018</v>
      </c>
      <c r="F107" t="s">
        <v>1025</v>
      </c>
      <c r="G107" t="s">
        <v>1032</v>
      </c>
      <c r="H107" s="2">
        <v>45765</v>
      </c>
      <c r="I107" s="2">
        <v>45770</v>
      </c>
      <c r="J107">
        <v>486674</v>
      </c>
      <c r="K107">
        <v>3</v>
      </c>
      <c r="L107">
        <v>1</v>
      </c>
      <c r="M107">
        <v>3</v>
      </c>
      <c r="N107">
        <v>0</v>
      </c>
    </row>
    <row r="108" spans="1:14" x14ac:dyDescent="0.35">
      <c r="A108" t="s">
        <v>120</v>
      </c>
      <c r="B108" t="s">
        <v>620</v>
      </c>
      <c r="C108">
        <v>74</v>
      </c>
      <c r="D108" t="s">
        <v>1015</v>
      </c>
      <c r="E108" t="s">
        <v>1016</v>
      </c>
      <c r="F108" t="s">
        <v>1023</v>
      </c>
      <c r="G108" t="s">
        <v>1040</v>
      </c>
      <c r="H108" s="2">
        <v>45767</v>
      </c>
      <c r="I108" s="2">
        <v>45769</v>
      </c>
      <c r="J108">
        <v>499174</v>
      </c>
      <c r="K108">
        <v>2</v>
      </c>
      <c r="L108">
        <v>13</v>
      </c>
      <c r="M108">
        <v>3</v>
      </c>
      <c r="N108">
        <v>0</v>
      </c>
    </row>
    <row r="109" spans="1:14" x14ac:dyDescent="0.35">
      <c r="A109" t="s">
        <v>121</v>
      </c>
      <c r="B109" t="s">
        <v>621</v>
      </c>
      <c r="C109">
        <v>50</v>
      </c>
      <c r="D109" t="s">
        <v>1015</v>
      </c>
      <c r="E109" t="s">
        <v>1018</v>
      </c>
      <c r="F109" t="s">
        <v>1025</v>
      </c>
      <c r="G109" t="s">
        <v>1032</v>
      </c>
      <c r="H109" s="2">
        <v>45791</v>
      </c>
      <c r="I109" s="2">
        <v>45798</v>
      </c>
      <c r="J109">
        <v>206559</v>
      </c>
      <c r="K109">
        <v>7</v>
      </c>
      <c r="L109">
        <v>1</v>
      </c>
      <c r="M109">
        <v>2</v>
      </c>
      <c r="N109">
        <v>0</v>
      </c>
    </row>
    <row r="110" spans="1:14" x14ac:dyDescent="0.35">
      <c r="A110" t="s">
        <v>122</v>
      </c>
      <c r="B110" t="s">
        <v>622</v>
      </c>
      <c r="C110">
        <v>78</v>
      </c>
      <c r="D110" t="s">
        <v>1014</v>
      </c>
      <c r="E110" t="s">
        <v>1016</v>
      </c>
      <c r="F110" t="s">
        <v>1023</v>
      </c>
      <c r="G110" t="s">
        <v>1040</v>
      </c>
      <c r="H110" s="2">
        <v>45775</v>
      </c>
      <c r="I110" s="2">
        <v>45788</v>
      </c>
      <c r="J110">
        <v>336330</v>
      </c>
      <c r="K110">
        <v>3</v>
      </c>
      <c r="L110">
        <v>17</v>
      </c>
      <c r="M110">
        <v>3</v>
      </c>
      <c r="N110">
        <v>0</v>
      </c>
    </row>
    <row r="111" spans="1:14" x14ac:dyDescent="0.35">
      <c r="A111" t="s">
        <v>123</v>
      </c>
      <c r="B111" t="s">
        <v>623</v>
      </c>
      <c r="C111">
        <v>63</v>
      </c>
      <c r="D111" t="s">
        <v>1014</v>
      </c>
      <c r="E111" t="s">
        <v>1017</v>
      </c>
      <c r="F111" t="s">
        <v>1024</v>
      </c>
      <c r="G111" t="s">
        <v>1031</v>
      </c>
      <c r="H111" s="2">
        <v>45761</v>
      </c>
      <c r="I111" s="2">
        <v>45767</v>
      </c>
      <c r="J111">
        <v>278503</v>
      </c>
      <c r="K111">
        <v>4</v>
      </c>
      <c r="L111">
        <v>9</v>
      </c>
      <c r="M111">
        <v>2</v>
      </c>
      <c r="N111">
        <v>0</v>
      </c>
    </row>
    <row r="112" spans="1:14" x14ac:dyDescent="0.35">
      <c r="A112" t="s">
        <v>124</v>
      </c>
      <c r="B112" t="s">
        <v>624</v>
      </c>
      <c r="C112">
        <v>52</v>
      </c>
      <c r="D112" t="s">
        <v>1014</v>
      </c>
      <c r="E112" t="s">
        <v>1021</v>
      </c>
      <c r="F112" t="s">
        <v>1028</v>
      </c>
      <c r="G112" t="s">
        <v>1036</v>
      </c>
      <c r="H112" s="2">
        <v>45747</v>
      </c>
      <c r="I112" s="2">
        <v>45759</v>
      </c>
      <c r="J112">
        <v>406065</v>
      </c>
      <c r="K112">
        <v>8</v>
      </c>
      <c r="L112">
        <v>3</v>
      </c>
      <c r="M112">
        <v>3</v>
      </c>
      <c r="N112">
        <v>243577</v>
      </c>
    </row>
    <row r="113" spans="1:14" x14ac:dyDescent="0.35">
      <c r="A113" t="s">
        <v>125</v>
      </c>
      <c r="B113" t="s">
        <v>625</v>
      </c>
      <c r="C113">
        <v>4</v>
      </c>
      <c r="D113" t="s">
        <v>1015</v>
      </c>
      <c r="E113" t="s">
        <v>1017</v>
      </c>
      <c r="F113" t="s">
        <v>1024</v>
      </c>
      <c r="G113" t="s">
        <v>1042</v>
      </c>
      <c r="H113" s="2">
        <v>45795</v>
      </c>
      <c r="I113" s="2">
        <v>45806</v>
      </c>
      <c r="J113">
        <v>330034</v>
      </c>
      <c r="K113">
        <v>2</v>
      </c>
      <c r="L113">
        <v>6</v>
      </c>
      <c r="M113">
        <v>4</v>
      </c>
      <c r="N113">
        <v>0</v>
      </c>
    </row>
    <row r="114" spans="1:14" x14ac:dyDescent="0.35">
      <c r="A114" t="s">
        <v>126</v>
      </c>
      <c r="B114" t="s">
        <v>626</v>
      </c>
      <c r="C114">
        <v>18</v>
      </c>
      <c r="D114" t="s">
        <v>1015</v>
      </c>
      <c r="E114" t="s">
        <v>1018</v>
      </c>
      <c r="F114" t="s">
        <v>1025</v>
      </c>
      <c r="G114" t="s">
        <v>1044</v>
      </c>
      <c r="H114" s="2">
        <v>45801</v>
      </c>
      <c r="I114" s="2">
        <v>45813</v>
      </c>
      <c r="J114">
        <v>274716</v>
      </c>
      <c r="K114">
        <v>5</v>
      </c>
      <c r="L114">
        <v>14</v>
      </c>
      <c r="M114">
        <v>3</v>
      </c>
      <c r="N114">
        <v>0</v>
      </c>
    </row>
    <row r="115" spans="1:14" x14ac:dyDescent="0.35">
      <c r="A115" t="s">
        <v>127</v>
      </c>
      <c r="B115" t="s">
        <v>627</v>
      </c>
      <c r="C115">
        <v>42</v>
      </c>
      <c r="D115" t="s">
        <v>1014</v>
      </c>
      <c r="E115" t="s">
        <v>1018</v>
      </c>
      <c r="F115" t="s">
        <v>1025</v>
      </c>
      <c r="G115" t="s">
        <v>1037</v>
      </c>
      <c r="H115" s="2">
        <v>45764</v>
      </c>
      <c r="I115" s="2">
        <v>45770</v>
      </c>
      <c r="J115">
        <v>248759</v>
      </c>
      <c r="K115">
        <v>5</v>
      </c>
      <c r="L115">
        <v>11</v>
      </c>
      <c r="M115">
        <v>2</v>
      </c>
      <c r="N115">
        <v>0</v>
      </c>
    </row>
    <row r="116" spans="1:14" x14ac:dyDescent="0.35">
      <c r="A116" t="s">
        <v>128</v>
      </c>
      <c r="B116" t="s">
        <v>628</v>
      </c>
      <c r="C116">
        <v>49</v>
      </c>
      <c r="D116" t="s">
        <v>1015</v>
      </c>
      <c r="E116" t="s">
        <v>1021</v>
      </c>
      <c r="F116" t="s">
        <v>1028</v>
      </c>
      <c r="G116" t="s">
        <v>1036</v>
      </c>
      <c r="H116" s="2">
        <v>45764</v>
      </c>
      <c r="I116" s="2">
        <v>45771</v>
      </c>
      <c r="J116">
        <v>449103</v>
      </c>
      <c r="K116">
        <v>7</v>
      </c>
      <c r="L116">
        <v>9</v>
      </c>
      <c r="M116">
        <v>4</v>
      </c>
      <c r="N116">
        <v>249322</v>
      </c>
    </row>
    <row r="117" spans="1:14" x14ac:dyDescent="0.35">
      <c r="A117" t="s">
        <v>129</v>
      </c>
      <c r="B117" t="s">
        <v>629</v>
      </c>
      <c r="C117">
        <v>61</v>
      </c>
      <c r="D117" t="s">
        <v>1014</v>
      </c>
      <c r="E117" t="s">
        <v>1021</v>
      </c>
      <c r="F117" t="s">
        <v>1028</v>
      </c>
      <c r="G117" t="s">
        <v>1035</v>
      </c>
      <c r="H117" s="2">
        <v>45759</v>
      </c>
      <c r="I117" s="2">
        <v>45774</v>
      </c>
      <c r="J117">
        <v>92942</v>
      </c>
      <c r="K117">
        <v>7</v>
      </c>
      <c r="L117">
        <v>10</v>
      </c>
      <c r="M117">
        <v>2</v>
      </c>
      <c r="N117">
        <v>247998</v>
      </c>
    </row>
    <row r="118" spans="1:14" x14ac:dyDescent="0.35">
      <c r="A118" t="s">
        <v>130</v>
      </c>
      <c r="B118" t="s">
        <v>630</v>
      </c>
      <c r="C118">
        <v>9</v>
      </c>
      <c r="D118" t="s">
        <v>1014</v>
      </c>
      <c r="E118" t="s">
        <v>1021</v>
      </c>
      <c r="F118" t="s">
        <v>1028</v>
      </c>
      <c r="G118" t="s">
        <v>1035</v>
      </c>
      <c r="H118" s="2">
        <v>45776</v>
      </c>
      <c r="I118" s="2">
        <v>45781</v>
      </c>
      <c r="J118">
        <v>390862</v>
      </c>
      <c r="K118">
        <v>5</v>
      </c>
      <c r="L118">
        <v>1</v>
      </c>
      <c r="M118">
        <v>2</v>
      </c>
      <c r="N118">
        <v>182591</v>
      </c>
    </row>
    <row r="119" spans="1:14" x14ac:dyDescent="0.35">
      <c r="A119" t="s">
        <v>131</v>
      </c>
      <c r="B119" t="s">
        <v>631</v>
      </c>
      <c r="C119">
        <v>3</v>
      </c>
      <c r="D119" t="s">
        <v>1014</v>
      </c>
      <c r="E119" t="s">
        <v>1017</v>
      </c>
      <c r="F119" t="s">
        <v>1024</v>
      </c>
      <c r="G119" t="s">
        <v>1042</v>
      </c>
      <c r="H119" s="2">
        <v>45801</v>
      </c>
      <c r="I119" s="2">
        <v>45806</v>
      </c>
      <c r="J119">
        <v>489997</v>
      </c>
      <c r="K119">
        <v>7</v>
      </c>
      <c r="L119">
        <v>14</v>
      </c>
      <c r="M119">
        <v>3</v>
      </c>
      <c r="N119">
        <v>0</v>
      </c>
    </row>
    <row r="120" spans="1:14" x14ac:dyDescent="0.35">
      <c r="A120" t="s">
        <v>132</v>
      </c>
      <c r="B120" t="s">
        <v>632</v>
      </c>
      <c r="C120">
        <v>15</v>
      </c>
      <c r="D120" t="s">
        <v>1014</v>
      </c>
      <c r="E120" t="s">
        <v>1017</v>
      </c>
      <c r="F120" t="s">
        <v>1024</v>
      </c>
      <c r="G120" t="s">
        <v>1031</v>
      </c>
      <c r="H120" s="2">
        <v>45749</v>
      </c>
      <c r="I120" s="2">
        <v>45758</v>
      </c>
      <c r="J120">
        <v>400989</v>
      </c>
      <c r="K120">
        <v>8</v>
      </c>
      <c r="L120">
        <v>12</v>
      </c>
      <c r="M120">
        <v>1</v>
      </c>
      <c r="N120">
        <v>0</v>
      </c>
    </row>
    <row r="121" spans="1:14" x14ac:dyDescent="0.35">
      <c r="A121" t="s">
        <v>133</v>
      </c>
      <c r="B121" t="s">
        <v>633</v>
      </c>
      <c r="C121">
        <v>48</v>
      </c>
      <c r="D121" t="s">
        <v>1014</v>
      </c>
      <c r="E121" t="s">
        <v>1016</v>
      </c>
      <c r="F121" t="s">
        <v>1023</v>
      </c>
      <c r="G121" t="s">
        <v>1030</v>
      </c>
      <c r="H121" s="2">
        <v>45778</v>
      </c>
      <c r="I121" s="2">
        <v>45784</v>
      </c>
      <c r="J121">
        <v>452075</v>
      </c>
      <c r="K121">
        <v>1</v>
      </c>
      <c r="L121">
        <v>8</v>
      </c>
      <c r="M121">
        <v>4</v>
      </c>
      <c r="N121">
        <v>0</v>
      </c>
    </row>
    <row r="122" spans="1:14" x14ac:dyDescent="0.35">
      <c r="A122" t="s">
        <v>134</v>
      </c>
      <c r="B122" t="s">
        <v>634</v>
      </c>
      <c r="C122">
        <v>40</v>
      </c>
      <c r="D122" t="s">
        <v>1014</v>
      </c>
      <c r="E122" t="s">
        <v>1022</v>
      </c>
      <c r="F122" t="s">
        <v>1029</v>
      </c>
      <c r="G122" t="s">
        <v>1039</v>
      </c>
      <c r="H122" s="2">
        <v>45776</v>
      </c>
      <c r="I122" s="2">
        <v>45791</v>
      </c>
      <c r="J122">
        <v>135860</v>
      </c>
      <c r="K122">
        <v>4</v>
      </c>
      <c r="L122">
        <v>16</v>
      </c>
      <c r="M122">
        <v>3</v>
      </c>
      <c r="N122">
        <v>0</v>
      </c>
    </row>
    <row r="123" spans="1:14" x14ac:dyDescent="0.35">
      <c r="A123" t="s">
        <v>135</v>
      </c>
      <c r="B123" t="s">
        <v>635</v>
      </c>
      <c r="C123">
        <v>49</v>
      </c>
      <c r="D123" t="s">
        <v>1015</v>
      </c>
      <c r="E123" t="s">
        <v>1021</v>
      </c>
      <c r="F123" t="s">
        <v>1028</v>
      </c>
      <c r="G123" t="s">
        <v>1035</v>
      </c>
      <c r="H123" s="2">
        <v>45793</v>
      </c>
      <c r="I123" s="2">
        <v>45804</v>
      </c>
      <c r="J123">
        <v>405125</v>
      </c>
      <c r="K123">
        <v>7</v>
      </c>
      <c r="L123">
        <v>9</v>
      </c>
      <c r="M123">
        <v>4</v>
      </c>
      <c r="N123">
        <v>235383</v>
      </c>
    </row>
    <row r="124" spans="1:14" x14ac:dyDescent="0.35">
      <c r="A124" t="s">
        <v>136</v>
      </c>
      <c r="B124" t="s">
        <v>636</v>
      </c>
      <c r="C124">
        <v>81</v>
      </c>
      <c r="D124" t="s">
        <v>1014</v>
      </c>
      <c r="E124" t="s">
        <v>1018</v>
      </c>
      <c r="F124" t="s">
        <v>1025</v>
      </c>
      <c r="G124" t="s">
        <v>1044</v>
      </c>
      <c r="H124" s="2">
        <v>45773</v>
      </c>
      <c r="I124" s="2">
        <v>45784</v>
      </c>
      <c r="J124">
        <v>412080</v>
      </c>
      <c r="K124">
        <v>7</v>
      </c>
      <c r="L124">
        <v>14</v>
      </c>
      <c r="M124">
        <v>2</v>
      </c>
      <c r="N124">
        <v>0</v>
      </c>
    </row>
    <row r="125" spans="1:14" x14ac:dyDescent="0.35">
      <c r="A125" t="s">
        <v>137</v>
      </c>
      <c r="B125" t="s">
        <v>637</v>
      </c>
      <c r="C125">
        <v>88</v>
      </c>
      <c r="D125" t="s">
        <v>1014</v>
      </c>
      <c r="E125" t="s">
        <v>1016</v>
      </c>
      <c r="F125" t="s">
        <v>1023</v>
      </c>
      <c r="G125" t="s">
        <v>1030</v>
      </c>
      <c r="H125" s="2">
        <v>45767</v>
      </c>
      <c r="I125" s="2">
        <v>45781</v>
      </c>
      <c r="J125">
        <v>208116</v>
      </c>
      <c r="K125">
        <v>9</v>
      </c>
      <c r="L125">
        <v>5</v>
      </c>
      <c r="M125">
        <v>3</v>
      </c>
      <c r="N125">
        <v>0</v>
      </c>
    </row>
    <row r="126" spans="1:14" x14ac:dyDescent="0.35">
      <c r="A126" t="s">
        <v>138</v>
      </c>
      <c r="B126" t="s">
        <v>638</v>
      </c>
      <c r="C126">
        <v>85</v>
      </c>
      <c r="D126" t="s">
        <v>1015</v>
      </c>
      <c r="E126" t="s">
        <v>1021</v>
      </c>
      <c r="F126" t="s">
        <v>1028</v>
      </c>
      <c r="G126" t="s">
        <v>1035</v>
      </c>
      <c r="H126" s="2">
        <v>45763</v>
      </c>
      <c r="I126" s="2">
        <v>45773</v>
      </c>
      <c r="J126">
        <v>274593</v>
      </c>
      <c r="K126">
        <v>6</v>
      </c>
      <c r="L126">
        <v>2</v>
      </c>
      <c r="M126">
        <v>1</v>
      </c>
      <c r="N126">
        <v>194741</v>
      </c>
    </row>
    <row r="127" spans="1:14" x14ac:dyDescent="0.35">
      <c r="A127" t="s">
        <v>139</v>
      </c>
      <c r="B127" t="s">
        <v>639</v>
      </c>
      <c r="C127">
        <v>2</v>
      </c>
      <c r="D127" t="s">
        <v>1015</v>
      </c>
      <c r="E127" t="s">
        <v>1019</v>
      </c>
      <c r="F127" t="s">
        <v>1026</v>
      </c>
      <c r="G127" t="s">
        <v>1038</v>
      </c>
      <c r="H127" s="2">
        <v>45790</v>
      </c>
      <c r="I127" s="2">
        <v>45802</v>
      </c>
      <c r="J127">
        <v>228903</v>
      </c>
      <c r="K127">
        <v>7</v>
      </c>
      <c r="L127">
        <v>1</v>
      </c>
      <c r="M127">
        <v>3</v>
      </c>
      <c r="N127">
        <v>0</v>
      </c>
    </row>
    <row r="128" spans="1:14" x14ac:dyDescent="0.35">
      <c r="A128" t="s">
        <v>140</v>
      </c>
      <c r="B128" t="s">
        <v>640</v>
      </c>
      <c r="C128">
        <v>82</v>
      </c>
      <c r="D128" t="s">
        <v>1015</v>
      </c>
      <c r="E128" t="s">
        <v>1018</v>
      </c>
      <c r="F128" t="s">
        <v>1025</v>
      </c>
      <c r="G128" t="s">
        <v>1032</v>
      </c>
      <c r="H128" s="2">
        <v>45766</v>
      </c>
      <c r="I128" s="2">
        <v>45774</v>
      </c>
      <c r="J128">
        <v>239890</v>
      </c>
      <c r="K128">
        <v>2</v>
      </c>
      <c r="L128">
        <v>7</v>
      </c>
      <c r="M128">
        <v>3</v>
      </c>
      <c r="N128">
        <v>0</v>
      </c>
    </row>
    <row r="129" spans="1:14" x14ac:dyDescent="0.35">
      <c r="A129" t="s">
        <v>141</v>
      </c>
      <c r="B129" t="s">
        <v>641</v>
      </c>
      <c r="C129">
        <v>67</v>
      </c>
      <c r="D129" t="s">
        <v>1015</v>
      </c>
      <c r="E129" t="s">
        <v>1017</v>
      </c>
      <c r="F129" t="s">
        <v>1024</v>
      </c>
      <c r="G129" t="s">
        <v>1031</v>
      </c>
      <c r="H129" s="2">
        <v>45785</v>
      </c>
      <c r="I129" s="2">
        <v>45793</v>
      </c>
      <c r="J129">
        <v>142346</v>
      </c>
      <c r="K129">
        <v>9</v>
      </c>
      <c r="L129">
        <v>11</v>
      </c>
      <c r="M129">
        <v>1</v>
      </c>
      <c r="N129">
        <v>0</v>
      </c>
    </row>
    <row r="130" spans="1:14" x14ac:dyDescent="0.35">
      <c r="A130" t="s">
        <v>142</v>
      </c>
      <c r="B130" t="s">
        <v>642</v>
      </c>
      <c r="C130">
        <v>76</v>
      </c>
      <c r="D130" t="s">
        <v>1015</v>
      </c>
      <c r="E130" t="s">
        <v>1020</v>
      </c>
      <c r="F130" t="s">
        <v>1027</v>
      </c>
      <c r="G130" t="s">
        <v>1034</v>
      </c>
      <c r="H130" s="2">
        <v>45798</v>
      </c>
      <c r="I130" s="2">
        <v>45806</v>
      </c>
      <c r="J130">
        <v>482922</v>
      </c>
      <c r="K130">
        <v>8</v>
      </c>
      <c r="L130">
        <v>15</v>
      </c>
      <c r="M130">
        <v>2</v>
      </c>
      <c r="N130">
        <v>0</v>
      </c>
    </row>
    <row r="131" spans="1:14" x14ac:dyDescent="0.35">
      <c r="A131" t="s">
        <v>143</v>
      </c>
      <c r="B131" t="s">
        <v>643</v>
      </c>
      <c r="C131">
        <v>12</v>
      </c>
      <c r="D131" t="s">
        <v>1015</v>
      </c>
      <c r="E131" t="s">
        <v>1022</v>
      </c>
      <c r="F131" t="s">
        <v>1029</v>
      </c>
      <c r="G131" t="s">
        <v>1041</v>
      </c>
      <c r="H131" s="2">
        <v>45763</v>
      </c>
      <c r="I131" s="2">
        <v>45768</v>
      </c>
      <c r="J131">
        <v>485542</v>
      </c>
      <c r="K131">
        <v>6</v>
      </c>
      <c r="L131">
        <v>9</v>
      </c>
      <c r="M131">
        <v>4</v>
      </c>
      <c r="N131">
        <v>0</v>
      </c>
    </row>
    <row r="132" spans="1:14" x14ac:dyDescent="0.35">
      <c r="A132" t="s">
        <v>144</v>
      </c>
      <c r="B132" t="s">
        <v>644</v>
      </c>
      <c r="C132">
        <v>73</v>
      </c>
      <c r="D132" t="s">
        <v>1015</v>
      </c>
      <c r="E132" t="s">
        <v>1017</v>
      </c>
      <c r="F132" t="s">
        <v>1024</v>
      </c>
      <c r="G132" t="s">
        <v>1031</v>
      </c>
      <c r="H132" s="2">
        <v>45779</v>
      </c>
      <c r="I132" s="2">
        <v>45793</v>
      </c>
      <c r="J132">
        <v>293641</v>
      </c>
      <c r="K132">
        <v>5</v>
      </c>
      <c r="L132">
        <v>1</v>
      </c>
      <c r="M132">
        <v>4</v>
      </c>
      <c r="N132">
        <v>0</v>
      </c>
    </row>
    <row r="133" spans="1:14" x14ac:dyDescent="0.35">
      <c r="A133" t="s">
        <v>145</v>
      </c>
      <c r="B133" t="s">
        <v>645</v>
      </c>
      <c r="C133">
        <v>42</v>
      </c>
      <c r="D133" t="s">
        <v>1014</v>
      </c>
      <c r="E133" t="s">
        <v>1018</v>
      </c>
      <c r="F133" t="s">
        <v>1025</v>
      </c>
      <c r="G133" t="s">
        <v>1037</v>
      </c>
      <c r="H133" s="2">
        <v>45785</v>
      </c>
      <c r="I133" s="2">
        <v>45794</v>
      </c>
      <c r="J133">
        <v>496144</v>
      </c>
      <c r="K133">
        <v>3</v>
      </c>
      <c r="L133">
        <v>13</v>
      </c>
      <c r="M133">
        <v>2</v>
      </c>
      <c r="N133">
        <v>0</v>
      </c>
    </row>
    <row r="134" spans="1:14" x14ac:dyDescent="0.35">
      <c r="A134" t="s">
        <v>146</v>
      </c>
      <c r="B134" t="s">
        <v>646</v>
      </c>
      <c r="C134">
        <v>34</v>
      </c>
      <c r="D134" t="s">
        <v>1015</v>
      </c>
      <c r="E134" t="s">
        <v>1017</v>
      </c>
      <c r="F134" t="s">
        <v>1024</v>
      </c>
      <c r="G134" t="s">
        <v>1031</v>
      </c>
      <c r="H134" s="2">
        <v>45753</v>
      </c>
      <c r="I134" s="2">
        <v>45760</v>
      </c>
      <c r="J134">
        <v>468293</v>
      </c>
      <c r="K134">
        <v>7</v>
      </c>
      <c r="L134">
        <v>5</v>
      </c>
      <c r="M134">
        <v>2</v>
      </c>
      <c r="N134">
        <v>0</v>
      </c>
    </row>
    <row r="135" spans="1:14" x14ac:dyDescent="0.35">
      <c r="A135" t="s">
        <v>147</v>
      </c>
      <c r="B135" t="s">
        <v>647</v>
      </c>
      <c r="C135">
        <v>72</v>
      </c>
      <c r="D135" t="s">
        <v>1014</v>
      </c>
      <c r="E135" t="s">
        <v>1019</v>
      </c>
      <c r="F135" t="s">
        <v>1026</v>
      </c>
      <c r="G135" t="s">
        <v>1033</v>
      </c>
      <c r="H135" s="2">
        <v>45774</v>
      </c>
      <c r="I135" s="2">
        <v>45787</v>
      </c>
      <c r="J135">
        <v>194844</v>
      </c>
      <c r="K135">
        <v>5</v>
      </c>
      <c r="L135">
        <v>8</v>
      </c>
      <c r="M135">
        <v>1</v>
      </c>
      <c r="N135">
        <v>0</v>
      </c>
    </row>
    <row r="136" spans="1:14" x14ac:dyDescent="0.35">
      <c r="A136" t="s">
        <v>148</v>
      </c>
      <c r="B136" t="s">
        <v>648</v>
      </c>
      <c r="C136">
        <v>53</v>
      </c>
      <c r="D136" t="s">
        <v>1015</v>
      </c>
      <c r="E136" t="s">
        <v>1018</v>
      </c>
      <c r="F136" t="s">
        <v>1025</v>
      </c>
      <c r="G136" t="s">
        <v>1032</v>
      </c>
      <c r="H136" s="2">
        <v>45777</v>
      </c>
      <c r="I136" s="2">
        <v>45782</v>
      </c>
      <c r="J136">
        <v>427526</v>
      </c>
      <c r="K136">
        <v>5</v>
      </c>
      <c r="L136">
        <v>6</v>
      </c>
      <c r="M136">
        <v>3</v>
      </c>
      <c r="N136">
        <v>0</v>
      </c>
    </row>
    <row r="137" spans="1:14" x14ac:dyDescent="0.35">
      <c r="A137" t="s">
        <v>149</v>
      </c>
      <c r="B137" t="s">
        <v>649</v>
      </c>
      <c r="C137">
        <v>61</v>
      </c>
      <c r="D137" t="s">
        <v>1015</v>
      </c>
      <c r="E137" t="s">
        <v>1022</v>
      </c>
      <c r="F137" t="s">
        <v>1029</v>
      </c>
      <c r="G137" t="s">
        <v>1041</v>
      </c>
      <c r="H137" s="2">
        <v>45802</v>
      </c>
      <c r="I137" s="2">
        <v>45807</v>
      </c>
      <c r="J137">
        <v>412078</v>
      </c>
      <c r="K137">
        <v>7</v>
      </c>
      <c r="L137">
        <v>7</v>
      </c>
      <c r="M137">
        <v>2</v>
      </c>
      <c r="N137">
        <v>0</v>
      </c>
    </row>
    <row r="138" spans="1:14" x14ac:dyDescent="0.35">
      <c r="A138" t="s">
        <v>150</v>
      </c>
      <c r="B138" t="s">
        <v>650</v>
      </c>
      <c r="C138">
        <v>38</v>
      </c>
      <c r="D138" t="s">
        <v>1014</v>
      </c>
      <c r="E138" t="s">
        <v>1022</v>
      </c>
      <c r="F138" t="s">
        <v>1029</v>
      </c>
      <c r="G138" t="s">
        <v>1041</v>
      </c>
      <c r="H138" s="2">
        <v>45765</v>
      </c>
      <c r="I138" s="2">
        <v>45767</v>
      </c>
      <c r="J138">
        <v>98786</v>
      </c>
      <c r="K138">
        <v>4</v>
      </c>
      <c r="L138">
        <v>14</v>
      </c>
      <c r="M138">
        <v>2</v>
      </c>
      <c r="N138">
        <v>0</v>
      </c>
    </row>
    <row r="139" spans="1:14" x14ac:dyDescent="0.35">
      <c r="A139" t="s">
        <v>151</v>
      </c>
      <c r="B139" t="s">
        <v>651</v>
      </c>
      <c r="C139">
        <v>85</v>
      </c>
      <c r="D139" t="s">
        <v>1015</v>
      </c>
      <c r="E139" t="s">
        <v>1016</v>
      </c>
      <c r="F139" t="s">
        <v>1023</v>
      </c>
      <c r="G139" t="s">
        <v>1040</v>
      </c>
      <c r="H139" s="2">
        <v>45766</v>
      </c>
      <c r="I139" s="2">
        <v>45771</v>
      </c>
      <c r="J139">
        <v>210540</v>
      </c>
      <c r="K139">
        <v>6</v>
      </c>
      <c r="L139">
        <v>5</v>
      </c>
      <c r="M139">
        <v>1</v>
      </c>
      <c r="N139">
        <v>0</v>
      </c>
    </row>
    <row r="140" spans="1:14" x14ac:dyDescent="0.35">
      <c r="A140" t="s">
        <v>152</v>
      </c>
      <c r="B140" t="s">
        <v>652</v>
      </c>
      <c r="C140">
        <v>55</v>
      </c>
      <c r="D140" t="s">
        <v>1015</v>
      </c>
      <c r="E140" t="s">
        <v>1019</v>
      </c>
      <c r="F140" t="s">
        <v>1026</v>
      </c>
      <c r="G140" t="s">
        <v>1038</v>
      </c>
      <c r="H140" s="2">
        <v>45771</v>
      </c>
      <c r="I140" s="2">
        <v>45781</v>
      </c>
      <c r="J140">
        <v>230227</v>
      </c>
      <c r="K140">
        <v>5</v>
      </c>
      <c r="L140">
        <v>18</v>
      </c>
      <c r="M140">
        <v>4</v>
      </c>
      <c r="N140">
        <v>0</v>
      </c>
    </row>
    <row r="141" spans="1:14" x14ac:dyDescent="0.35">
      <c r="A141" t="s">
        <v>153</v>
      </c>
      <c r="B141" t="s">
        <v>653</v>
      </c>
      <c r="C141">
        <v>40</v>
      </c>
      <c r="D141" t="s">
        <v>1015</v>
      </c>
      <c r="E141" t="s">
        <v>1016</v>
      </c>
      <c r="F141" t="s">
        <v>1023</v>
      </c>
      <c r="G141" t="s">
        <v>1030</v>
      </c>
      <c r="H141" s="2">
        <v>45768</v>
      </c>
      <c r="I141" s="2">
        <v>45777</v>
      </c>
      <c r="J141">
        <v>192038</v>
      </c>
      <c r="K141">
        <v>1</v>
      </c>
      <c r="L141">
        <v>11</v>
      </c>
      <c r="M141">
        <v>2</v>
      </c>
      <c r="N141">
        <v>0</v>
      </c>
    </row>
    <row r="142" spans="1:14" x14ac:dyDescent="0.35">
      <c r="A142" t="s">
        <v>154</v>
      </c>
      <c r="B142" t="s">
        <v>654</v>
      </c>
      <c r="C142">
        <v>41</v>
      </c>
      <c r="D142" t="s">
        <v>1014</v>
      </c>
      <c r="E142" t="s">
        <v>1018</v>
      </c>
      <c r="F142" t="s">
        <v>1025</v>
      </c>
      <c r="G142" t="s">
        <v>1032</v>
      </c>
      <c r="H142" s="2">
        <v>45800</v>
      </c>
      <c r="I142" s="2">
        <v>45813</v>
      </c>
      <c r="J142">
        <v>150969</v>
      </c>
      <c r="K142">
        <v>2</v>
      </c>
      <c r="L142">
        <v>19</v>
      </c>
      <c r="M142">
        <v>3</v>
      </c>
      <c r="N142">
        <v>0</v>
      </c>
    </row>
    <row r="143" spans="1:14" x14ac:dyDescent="0.35">
      <c r="A143" t="s">
        <v>155</v>
      </c>
      <c r="B143" t="s">
        <v>655</v>
      </c>
      <c r="C143">
        <v>24</v>
      </c>
      <c r="D143" t="s">
        <v>1014</v>
      </c>
      <c r="E143" t="s">
        <v>1019</v>
      </c>
      <c r="F143" t="s">
        <v>1026</v>
      </c>
      <c r="G143" t="s">
        <v>1033</v>
      </c>
      <c r="H143" s="2">
        <v>45763</v>
      </c>
      <c r="I143" s="2">
        <v>45777</v>
      </c>
      <c r="J143">
        <v>411844</v>
      </c>
      <c r="K143">
        <v>2</v>
      </c>
      <c r="L143">
        <v>19</v>
      </c>
      <c r="M143">
        <v>1</v>
      </c>
      <c r="N143">
        <v>0</v>
      </c>
    </row>
    <row r="144" spans="1:14" x14ac:dyDescent="0.35">
      <c r="A144" t="s">
        <v>156</v>
      </c>
      <c r="B144" t="s">
        <v>656</v>
      </c>
      <c r="C144">
        <v>76</v>
      </c>
      <c r="D144" t="s">
        <v>1015</v>
      </c>
      <c r="E144" t="s">
        <v>1016</v>
      </c>
      <c r="F144" t="s">
        <v>1023</v>
      </c>
      <c r="G144" t="s">
        <v>1030</v>
      </c>
      <c r="H144" s="2">
        <v>45792</v>
      </c>
      <c r="I144" s="2">
        <v>45801</v>
      </c>
      <c r="J144">
        <v>194965</v>
      </c>
      <c r="K144">
        <v>6</v>
      </c>
      <c r="L144">
        <v>3</v>
      </c>
      <c r="M144">
        <v>3</v>
      </c>
      <c r="N144">
        <v>0</v>
      </c>
    </row>
    <row r="145" spans="1:14" x14ac:dyDescent="0.35">
      <c r="A145" t="s">
        <v>157</v>
      </c>
      <c r="B145" t="s">
        <v>657</v>
      </c>
      <c r="C145">
        <v>30</v>
      </c>
      <c r="D145" t="s">
        <v>1015</v>
      </c>
      <c r="E145" t="s">
        <v>1022</v>
      </c>
      <c r="F145" t="s">
        <v>1029</v>
      </c>
      <c r="G145" t="s">
        <v>1039</v>
      </c>
      <c r="H145" s="2">
        <v>45785</v>
      </c>
      <c r="I145" s="2">
        <v>45790</v>
      </c>
      <c r="J145">
        <v>205318</v>
      </c>
      <c r="K145">
        <v>7</v>
      </c>
      <c r="L145">
        <v>18</v>
      </c>
      <c r="M145">
        <v>2</v>
      </c>
      <c r="N145">
        <v>0</v>
      </c>
    </row>
    <row r="146" spans="1:14" x14ac:dyDescent="0.35">
      <c r="A146" t="s">
        <v>158</v>
      </c>
      <c r="B146" t="s">
        <v>658</v>
      </c>
      <c r="C146">
        <v>69</v>
      </c>
      <c r="D146" t="s">
        <v>1014</v>
      </c>
      <c r="E146" t="s">
        <v>1021</v>
      </c>
      <c r="F146" t="s">
        <v>1028</v>
      </c>
      <c r="G146" t="s">
        <v>1036</v>
      </c>
      <c r="H146" s="2">
        <v>45762</v>
      </c>
      <c r="I146" s="2">
        <v>45764</v>
      </c>
      <c r="J146">
        <v>421205</v>
      </c>
      <c r="K146">
        <v>6</v>
      </c>
      <c r="L146">
        <v>3</v>
      </c>
      <c r="M146">
        <v>2</v>
      </c>
      <c r="N146">
        <v>247398</v>
      </c>
    </row>
    <row r="147" spans="1:14" x14ac:dyDescent="0.35">
      <c r="A147" t="s">
        <v>159</v>
      </c>
      <c r="B147" t="s">
        <v>659</v>
      </c>
      <c r="C147">
        <v>38</v>
      </c>
      <c r="D147" t="s">
        <v>1014</v>
      </c>
      <c r="E147" t="s">
        <v>1018</v>
      </c>
      <c r="F147" t="s">
        <v>1025</v>
      </c>
      <c r="G147" t="s">
        <v>1032</v>
      </c>
      <c r="H147" s="2">
        <v>45778</v>
      </c>
      <c r="I147" s="2">
        <v>45780</v>
      </c>
      <c r="J147">
        <v>340119</v>
      </c>
      <c r="K147">
        <v>3</v>
      </c>
      <c r="L147">
        <v>8</v>
      </c>
      <c r="M147">
        <v>3</v>
      </c>
      <c r="N147">
        <v>0</v>
      </c>
    </row>
    <row r="148" spans="1:14" x14ac:dyDescent="0.35">
      <c r="A148" t="s">
        <v>160</v>
      </c>
      <c r="B148" t="s">
        <v>660</v>
      </c>
      <c r="C148">
        <v>14</v>
      </c>
      <c r="D148" t="s">
        <v>1014</v>
      </c>
      <c r="E148" t="s">
        <v>1022</v>
      </c>
      <c r="F148" t="s">
        <v>1029</v>
      </c>
      <c r="G148" t="s">
        <v>1041</v>
      </c>
      <c r="H148" s="2">
        <v>45792</v>
      </c>
      <c r="I148" s="2">
        <v>45806</v>
      </c>
      <c r="J148">
        <v>307361</v>
      </c>
      <c r="K148">
        <v>1</v>
      </c>
      <c r="L148">
        <v>12</v>
      </c>
      <c r="M148">
        <v>4</v>
      </c>
      <c r="N148">
        <v>0</v>
      </c>
    </row>
    <row r="149" spans="1:14" x14ac:dyDescent="0.35">
      <c r="A149" t="s">
        <v>161</v>
      </c>
      <c r="B149" t="s">
        <v>661</v>
      </c>
      <c r="C149">
        <v>44</v>
      </c>
      <c r="D149" t="s">
        <v>1014</v>
      </c>
      <c r="E149" t="s">
        <v>1020</v>
      </c>
      <c r="F149" t="s">
        <v>1027</v>
      </c>
      <c r="G149" t="s">
        <v>1043</v>
      </c>
      <c r="H149" s="2">
        <v>45748</v>
      </c>
      <c r="I149" s="2">
        <v>45757</v>
      </c>
      <c r="J149">
        <v>280932</v>
      </c>
      <c r="K149">
        <v>6</v>
      </c>
      <c r="L149">
        <v>4</v>
      </c>
      <c r="M149">
        <v>3</v>
      </c>
      <c r="N149">
        <v>0</v>
      </c>
    </row>
    <row r="150" spans="1:14" x14ac:dyDescent="0.35">
      <c r="A150" t="s">
        <v>162</v>
      </c>
      <c r="B150" t="s">
        <v>662</v>
      </c>
      <c r="C150">
        <v>15</v>
      </c>
      <c r="D150" t="s">
        <v>1014</v>
      </c>
      <c r="E150" t="s">
        <v>1021</v>
      </c>
      <c r="F150" t="s">
        <v>1028</v>
      </c>
      <c r="G150" t="s">
        <v>1036</v>
      </c>
      <c r="H150" s="2">
        <v>45801</v>
      </c>
      <c r="I150" s="2">
        <v>45816</v>
      </c>
      <c r="J150">
        <v>300467</v>
      </c>
      <c r="K150">
        <v>7</v>
      </c>
      <c r="L150">
        <v>7</v>
      </c>
      <c r="M150">
        <v>3</v>
      </c>
      <c r="N150">
        <v>102912</v>
      </c>
    </row>
    <row r="151" spans="1:14" x14ac:dyDescent="0.35">
      <c r="A151" t="s">
        <v>163</v>
      </c>
      <c r="B151" t="s">
        <v>663</v>
      </c>
      <c r="C151">
        <v>81</v>
      </c>
      <c r="D151" t="s">
        <v>1014</v>
      </c>
      <c r="E151" t="s">
        <v>1020</v>
      </c>
      <c r="F151" t="s">
        <v>1027</v>
      </c>
      <c r="G151" t="s">
        <v>1043</v>
      </c>
      <c r="H151" s="2">
        <v>45761</v>
      </c>
      <c r="I151" s="2">
        <v>45764</v>
      </c>
      <c r="J151">
        <v>352525</v>
      </c>
      <c r="K151">
        <v>9</v>
      </c>
      <c r="L151">
        <v>19</v>
      </c>
      <c r="M151">
        <v>1</v>
      </c>
      <c r="N151">
        <v>0</v>
      </c>
    </row>
    <row r="152" spans="1:14" x14ac:dyDescent="0.35">
      <c r="A152" t="s">
        <v>164</v>
      </c>
      <c r="B152" t="s">
        <v>664</v>
      </c>
      <c r="C152">
        <v>39</v>
      </c>
      <c r="D152" t="s">
        <v>1014</v>
      </c>
      <c r="E152" t="s">
        <v>1017</v>
      </c>
      <c r="F152" t="s">
        <v>1024</v>
      </c>
      <c r="G152" t="s">
        <v>1042</v>
      </c>
      <c r="H152" s="2">
        <v>45790</v>
      </c>
      <c r="I152" s="2">
        <v>45804</v>
      </c>
      <c r="J152">
        <v>345090</v>
      </c>
      <c r="K152">
        <v>8</v>
      </c>
      <c r="L152">
        <v>17</v>
      </c>
      <c r="M152">
        <v>4</v>
      </c>
      <c r="N152">
        <v>0</v>
      </c>
    </row>
    <row r="153" spans="1:14" x14ac:dyDescent="0.35">
      <c r="A153" t="s">
        <v>165</v>
      </c>
      <c r="B153" t="s">
        <v>665</v>
      </c>
      <c r="C153">
        <v>54</v>
      </c>
      <c r="D153" t="s">
        <v>1014</v>
      </c>
      <c r="E153" t="s">
        <v>1018</v>
      </c>
      <c r="F153" t="s">
        <v>1025</v>
      </c>
      <c r="G153" t="s">
        <v>1032</v>
      </c>
      <c r="H153" s="2">
        <v>45798</v>
      </c>
      <c r="I153" s="2">
        <v>45808</v>
      </c>
      <c r="J153">
        <v>450788</v>
      </c>
      <c r="K153">
        <v>2</v>
      </c>
      <c r="L153">
        <v>15</v>
      </c>
      <c r="M153">
        <v>2</v>
      </c>
      <c r="N153">
        <v>0</v>
      </c>
    </row>
    <row r="154" spans="1:14" x14ac:dyDescent="0.35">
      <c r="A154" t="s">
        <v>166</v>
      </c>
      <c r="B154" t="s">
        <v>666</v>
      </c>
      <c r="C154">
        <v>39</v>
      </c>
      <c r="D154" t="s">
        <v>1015</v>
      </c>
      <c r="E154" t="s">
        <v>1020</v>
      </c>
      <c r="F154" t="s">
        <v>1027</v>
      </c>
      <c r="G154" t="s">
        <v>1034</v>
      </c>
      <c r="H154" s="2">
        <v>45783</v>
      </c>
      <c r="I154" s="2">
        <v>45792</v>
      </c>
      <c r="J154">
        <v>282113</v>
      </c>
      <c r="K154">
        <v>7</v>
      </c>
      <c r="L154">
        <v>1</v>
      </c>
      <c r="M154">
        <v>2</v>
      </c>
      <c r="N154">
        <v>0</v>
      </c>
    </row>
    <row r="155" spans="1:14" x14ac:dyDescent="0.35">
      <c r="A155" t="s">
        <v>167</v>
      </c>
      <c r="B155" t="s">
        <v>667</v>
      </c>
      <c r="C155">
        <v>79</v>
      </c>
      <c r="D155" t="s">
        <v>1014</v>
      </c>
      <c r="E155" t="s">
        <v>1019</v>
      </c>
      <c r="F155" t="s">
        <v>1026</v>
      </c>
      <c r="G155" t="s">
        <v>1033</v>
      </c>
      <c r="H155" s="2">
        <v>45754</v>
      </c>
      <c r="I155" s="2">
        <v>45765</v>
      </c>
      <c r="J155">
        <v>81578</v>
      </c>
      <c r="K155">
        <v>1</v>
      </c>
      <c r="L155">
        <v>16</v>
      </c>
      <c r="M155">
        <v>3</v>
      </c>
      <c r="N155">
        <v>0</v>
      </c>
    </row>
    <row r="156" spans="1:14" x14ac:dyDescent="0.35">
      <c r="A156" t="s">
        <v>168</v>
      </c>
      <c r="B156" t="s">
        <v>668</v>
      </c>
      <c r="C156">
        <v>85</v>
      </c>
      <c r="D156" t="s">
        <v>1014</v>
      </c>
      <c r="E156" t="s">
        <v>1016</v>
      </c>
      <c r="F156" t="s">
        <v>1023</v>
      </c>
      <c r="G156" t="s">
        <v>1030</v>
      </c>
      <c r="H156" s="2">
        <v>45748</v>
      </c>
      <c r="I156" s="2">
        <v>45753</v>
      </c>
      <c r="J156">
        <v>188750</v>
      </c>
      <c r="K156">
        <v>8</v>
      </c>
      <c r="L156">
        <v>5</v>
      </c>
      <c r="M156">
        <v>2</v>
      </c>
      <c r="N156">
        <v>0</v>
      </c>
    </row>
    <row r="157" spans="1:14" x14ac:dyDescent="0.35">
      <c r="A157" t="s">
        <v>169</v>
      </c>
      <c r="B157" t="s">
        <v>669</v>
      </c>
      <c r="C157">
        <v>10</v>
      </c>
      <c r="D157" t="s">
        <v>1014</v>
      </c>
      <c r="E157" t="s">
        <v>1017</v>
      </c>
      <c r="F157" t="s">
        <v>1024</v>
      </c>
      <c r="G157" t="s">
        <v>1042</v>
      </c>
      <c r="H157" s="2">
        <v>45794</v>
      </c>
      <c r="I157" s="2">
        <v>45798</v>
      </c>
      <c r="J157">
        <v>339402</v>
      </c>
      <c r="K157">
        <v>9</v>
      </c>
      <c r="L157">
        <v>12</v>
      </c>
      <c r="M157">
        <v>2</v>
      </c>
      <c r="N157">
        <v>0</v>
      </c>
    </row>
    <row r="158" spans="1:14" x14ac:dyDescent="0.35">
      <c r="A158" t="s">
        <v>170</v>
      </c>
      <c r="B158" t="s">
        <v>670</v>
      </c>
      <c r="C158">
        <v>77</v>
      </c>
      <c r="D158" t="s">
        <v>1015</v>
      </c>
      <c r="E158" t="s">
        <v>1020</v>
      </c>
      <c r="F158" t="s">
        <v>1027</v>
      </c>
      <c r="G158" t="s">
        <v>1034</v>
      </c>
      <c r="H158" s="2">
        <v>45788</v>
      </c>
      <c r="I158" s="2">
        <v>45797</v>
      </c>
      <c r="J158">
        <v>411429</v>
      </c>
      <c r="K158">
        <v>8</v>
      </c>
      <c r="L158">
        <v>17</v>
      </c>
      <c r="M158">
        <v>2</v>
      </c>
      <c r="N158">
        <v>0</v>
      </c>
    </row>
    <row r="159" spans="1:14" x14ac:dyDescent="0.35">
      <c r="A159" t="s">
        <v>171</v>
      </c>
      <c r="B159" t="s">
        <v>671</v>
      </c>
      <c r="C159">
        <v>37</v>
      </c>
      <c r="D159" t="s">
        <v>1015</v>
      </c>
      <c r="E159" t="s">
        <v>1018</v>
      </c>
      <c r="F159" t="s">
        <v>1025</v>
      </c>
      <c r="G159" t="s">
        <v>1044</v>
      </c>
      <c r="H159" s="2">
        <v>45755</v>
      </c>
      <c r="I159" s="2">
        <v>45760</v>
      </c>
      <c r="J159">
        <v>201049</v>
      </c>
      <c r="K159">
        <v>7</v>
      </c>
      <c r="L159">
        <v>2</v>
      </c>
      <c r="M159">
        <v>3</v>
      </c>
      <c r="N159">
        <v>0</v>
      </c>
    </row>
    <row r="160" spans="1:14" x14ac:dyDescent="0.35">
      <c r="A160" t="s">
        <v>172</v>
      </c>
      <c r="B160" t="s">
        <v>672</v>
      </c>
      <c r="C160">
        <v>81</v>
      </c>
      <c r="D160" t="s">
        <v>1014</v>
      </c>
      <c r="E160" t="s">
        <v>1016</v>
      </c>
      <c r="F160" t="s">
        <v>1023</v>
      </c>
      <c r="G160" t="s">
        <v>1040</v>
      </c>
      <c r="H160" s="2">
        <v>45758</v>
      </c>
      <c r="I160" s="2">
        <v>45763</v>
      </c>
      <c r="J160">
        <v>188702</v>
      </c>
      <c r="K160">
        <v>9</v>
      </c>
      <c r="L160">
        <v>3</v>
      </c>
      <c r="M160">
        <v>2</v>
      </c>
      <c r="N160">
        <v>0</v>
      </c>
    </row>
    <row r="161" spans="1:14" x14ac:dyDescent="0.35">
      <c r="A161" t="s">
        <v>173</v>
      </c>
      <c r="B161" t="s">
        <v>673</v>
      </c>
      <c r="C161">
        <v>83</v>
      </c>
      <c r="D161" t="s">
        <v>1014</v>
      </c>
      <c r="E161" t="s">
        <v>1018</v>
      </c>
      <c r="F161" t="s">
        <v>1025</v>
      </c>
      <c r="G161" t="s">
        <v>1037</v>
      </c>
      <c r="H161" s="2">
        <v>45775</v>
      </c>
      <c r="I161" s="2">
        <v>45785</v>
      </c>
      <c r="J161">
        <v>167864</v>
      </c>
      <c r="K161">
        <v>4</v>
      </c>
      <c r="L161">
        <v>17</v>
      </c>
      <c r="M161">
        <v>2</v>
      </c>
      <c r="N161">
        <v>0</v>
      </c>
    </row>
    <row r="162" spans="1:14" x14ac:dyDescent="0.35">
      <c r="A162" t="s">
        <v>174</v>
      </c>
      <c r="B162" t="s">
        <v>674</v>
      </c>
      <c r="C162">
        <v>8</v>
      </c>
      <c r="D162" t="s">
        <v>1014</v>
      </c>
      <c r="E162" t="s">
        <v>1022</v>
      </c>
      <c r="F162" t="s">
        <v>1029</v>
      </c>
      <c r="G162" t="s">
        <v>1041</v>
      </c>
      <c r="H162" s="2">
        <v>45766</v>
      </c>
      <c r="I162" s="2">
        <v>45770</v>
      </c>
      <c r="J162">
        <v>87439</v>
      </c>
      <c r="K162">
        <v>7</v>
      </c>
      <c r="L162">
        <v>3</v>
      </c>
      <c r="M162">
        <v>1</v>
      </c>
      <c r="N162">
        <v>0</v>
      </c>
    </row>
    <row r="163" spans="1:14" x14ac:dyDescent="0.35">
      <c r="A163" t="s">
        <v>175</v>
      </c>
      <c r="B163" t="s">
        <v>675</v>
      </c>
      <c r="C163">
        <v>73</v>
      </c>
      <c r="D163" t="s">
        <v>1015</v>
      </c>
      <c r="E163" t="s">
        <v>1019</v>
      </c>
      <c r="F163" t="s">
        <v>1026</v>
      </c>
      <c r="G163" t="s">
        <v>1038</v>
      </c>
      <c r="H163" s="2">
        <v>45765</v>
      </c>
      <c r="I163" s="2">
        <v>45778</v>
      </c>
      <c r="J163">
        <v>482139</v>
      </c>
      <c r="K163">
        <v>9</v>
      </c>
      <c r="L163">
        <v>13</v>
      </c>
      <c r="M163">
        <v>2</v>
      </c>
      <c r="N163">
        <v>0</v>
      </c>
    </row>
    <row r="164" spans="1:14" x14ac:dyDescent="0.35">
      <c r="A164" t="s">
        <v>176</v>
      </c>
      <c r="B164" t="s">
        <v>676</v>
      </c>
      <c r="C164">
        <v>39</v>
      </c>
      <c r="D164" t="s">
        <v>1015</v>
      </c>
      <c r="E164" t="s">
        <v>1018</v>
      </c>
      <c r="F164" t="s">
        <v>1025</v>
      </c>
      <c r="G164" t="s">
        <v>1037</v>
      </c>
      <c r="H164" s="2">
        <v>45775</v>
      </c>
      <c r="I164" s="2">
        <v>45784</v>
      </c>
      <c r="J164">
        <v>411065</v>
      </c>
      <c r="K164">
        <v>5</v>
      </c>
      <c r="L164">
        <v>14</v>
      </c>
      <c r="M164">
        <v>1</v>
      </c>
      <c r="N164">
        <v>0</v>
      </c>
    </row>
    <row r="165" spans="1:14" x14ac:dyDescent="0.35">
      <c r="A165" t="s">
        <v>177</v>
      </c>
      <c r="B165" t="s">
        <v>677</v>
      </c>
      <c r="C165">
        <v>57</v>
      </c>
      <c r="D165" t="s">
        <v>1014</v>
      </c>
      <c r="E165" t="s">
        <v>1019</v>
      </c>
      <c r="F165" t="s">
        <v>1026</v>
      </c>
      <c r="G165" t="s">
        <v>1033</v>
      </c>
      <c r="H165" s="2">
        <v>45794</v>
      </c>
      <c r="I165" s="2">
        <v>45804</v>
      </c>
      <c r="J165">
        <v>308890</v>
      </c>
      <c r="K165">
        <v>7</v>
      </c>
      <c r="L165">
        <v>2</v>
      </c>
      <c r="M165">
        <v>2</v>
      </c>
      <c r="N165">
        <v>0</v>
      </c>
    </row>
    <row r="166" spans="1:14" x14ac:dyDescent="0.35">
      <c r="A166" t="s">
        <v>178</v>
      </c>
      <c r="B166" t="s">
        <v>678</v>
      </c>
      <c r="C166">
        <v>78</v>
      </c>
      <c r="D166" t="s">
        <v>1015</v>
      </c>
      <c r="E166" t="s">
        <v>1020</v>
      </c>
      <c r="F166" t="s">
        <v>1027</v>
      </c>
      <c r="G166" t="s">
        <v>1043</v>
      </c>
      <c r="H166" s="2">
        <v>45762</v>
      </c>
      <c r="I166" s="2">
        <v>45775</v>
      </c>
      <c r="J166">
        <v>218989</v>
      </c>
      <c r="K166">
        <v>5</v>
      </c>
      <c r="L166">
        <v>11</v>
      </c>
      <c r="M166">
        <v>4</v>
      </c>
      <c r="N166">
        <v>0</v>
      </c>
    </row>
    <row r="167" spans="1:14" x14ac:dyDescent="0.35">
      <c r="A167" t="s">
        <v>179</v>
      </c>
      <c r="B167" t="s">
        <v>679</v>
      </c>
      <c r="C167">
        <v>74</v>
      </c>
      <c r="D167" t="s">
        <v>1014</v>
      </c>
      <c r="E167" t="s">
        <v>1018</v>
      </c>
      <c r="F167" t="s">
        <v>1025</v>
      </c>
      <c r="G167" t="s">
        <v>1032</v>
      </c>
      <c r="H167" s="2">
        <v>45769</v>
      </c>
      <c r="I167" s="2">
        <v>45774</v>
      </c>
      <c r="J167">
        <v>403526</v>
      </c>
      <c r="K167">
        <v>4</v>
      </c>
      <c r="L167">
        <v>15</v>
      </c>
      <c r="M167">
        <v>1</v>
      </c>
      <c r="N167">
        <v>0</v>
      </c>
    </row>
    <row r="168" spans="1:14" x14ac:dyDescent="0.35">
      <c r="A168" t="s">
        <v>180</v>
      </c>
      <c r="B168" t="s">
        <v>680</v>
      </c>
      <c r="C168">
        <v>6</v>
      </c>
      <c r="D168" t="s">
        <v>1014</v>
      </c>
      <c r="E168" t="s">
        <v>1022</v>
      </c>
      <c r="F168" t="s">
        <v>1029</v>
      </c>
      <c r="G168" t="s">
        <v>1041</v>
      </c>
      <c r="H168" s="2">
        <v>45784</v>
      </c>
      <c r="I168" s="2">
        <v>45790</v>
      </c>
      <c r="J168">
        <v>352119</v>
      </c>
      <c r="K168">
        <v>9</v>
      </c>
      <c r="L168">
        <v>2</v>
      </c>
      <c r="M168">
        <v>1</v>
      </c>
      <c r="N168">
        <v>0</v>
      </c>
    </row>
    <row r="169" spans="1:14" x14ac:dyDescent="0.35">
      <c r="A169" t="s">
        <v>181</v>
      </c>
      <c r="B169" t="s">
        <v>681</v>
      </c>
      <c r="C169">
        <v>36</v>
      </c>
      <c r="D169" t="s">
        <v>1014</v>
      </c>
      <c r="E169" t="s">
        <v>1019</v>
      </c>
      <c r="F169" t="s">
        <v>1026</v>
      </c>
      <c r="G169" t="s">
        <v>1038</v>
      </c>
      <c r="H169" s="2">
        <v>45763</v>
      </c>
      <c r="I169" s="2">
        <v>45775</v>
      </c>
      <c r="J169">
        <v>281855</v>
      </c>
      <c r="K169">
        <v>4</v>
      </c>
      <c r="L169">
        <v>12</v>
      </c>
      <c r="M169">
        <v>4</v>
      </c>
      <c r="N169">
        <v>0</v>
      </c>
    </row>
    <row r="170" spans="1:14" x14ac:dyDescent="0.35">
      <c r="A170" t="s">
        <v>182</v>
      </c>
      <c r="B170" t="s">
        <v>682</v>
      </c>
      <c r="C170">
        <v>12</v>
      </c>
      <c r="D170" t="s">
        <v>1015</v>
      </c>
      <c r="E170" t="s">
        <v>1016</v>
      </c>
      <c r="F170" t="s">
        <v>1023</v>
      </c>
      <c r="G170" t="s">
        <v>1040</v>
      </c>
      <c r="H170" s="2">
        <v>45783</v>
      </c>
      <c r="I170" s="2">
        <v>45798</v>
      </c>
      <c r="J170">
        <v>307805</v>
      </c>
      <c r="K170">
        <v>5</v>
      </c>
      <c r="L170">
        <v>8</v>
      </c>
      <c r="M170">
        <v>1</v>
      </c>
      <c r="N170">
        <v>0</v>
      </c>
    </row>
    <row r="171" spans="1:14" x14ac:dyDescent="0.35">
      <c r="A171" t="s">
        <v>183</v>
      </c>
      <c r="B171" t="s">
        <v>683</v>
      </c>
      <c r="C171">
        <v>86</v>
      </c>
      <c r="D171" t="s">
        <v>1014</v>
      </c>
      <c r="E171" t="s">
        <v>1020</v>
      </c>
      <c r="F171" t="s">
        <v>1027</v>
      </c>
      <c r="G171" t="s">
        <v>1043</v>
      </c>
      <c r="H171" s="2">
        <v>45765</v>
      </c>
      <c r="I171" s="2">
        <v>45772</v>
      </c>
      <c r="J171">
        <v>218326</v>
      </c>
      <c r="K171">
        <v>9</v>
      </c>
      <c r="L171">
        <v>9</v>
      </c>
      <c r="M171">
        <v>2</v>
      </c>
      <c r="N171">
        <v>0</v>
      </c>
    </row>
    <row r="172" spans="1:14" x14ac:dyDescent="0.35">
      <c r="A172" t="s">
        <v>184</v>
      </c>
      <c r="B172" t="s">
        <v>684</v>
      </c>
      <c r="C172">
        <v>64</v>
      </c>
      <c r="D172" t="s">
        <v>1015</v>
      </c>
      <c r="E172" t="s">
        <v>1021</v>
      </c>
      <c r="F172" t="s">
        <v>1028</v>
      </c>
      <c r="G172" t="s">
        <v>1036</v>
      </c>
      <c r="H172" s="2">
        <v>45765</v>
      </c>
      <c r="I172" s="2">
        <v>45773</v>
      </c>
      <c r="J172">
        <v>413684</v>
      </c>
      <c r="K172">
        <v>9</v>
      </c>
      <c r="L172">
        <v>14</v>
      </c>
      <c r="M172">
        <v>1</v>
      </c>
      <c r="N172">
        <v>169599</v>
      </c>
    </row>
    <row r="173" spans="1:14" x14ac:dyDescent="0.35">
      <c r="A173" t="s">
        <v>185</v>
      </c>
      <c r="B173" t="s">
        <v>685</v>
      </c>
      <c r="C173">
        <v>5</v>
      </c>
      <c r="D173" t="s">
        <v>1015</v>
      </c>
      <c r="E173" t="s">
        <v>1022</v>
      </c>
      <c r="F173" t="s">
        <v>1029</v>
      </c>
      <c r="G173" t="s">
        <v>1039</v>
      </c>
      <c r="H173" s="2">
        <v>45755</v>
      </c>
      <c r="I173" s="2">
        <v>45769</v>
      </c>
      <c r="J173">
        <v>338409</v>
      </c>
      <c r="K173">
        <v>3</v>
      </c>
      <c r="L173">
        <v>18</v>
      </c>
      <c r="M173">
        <v>4</v>
      </c>
      <c r="N173">
        <v>0</v>
      </c>
    </row>
    <row r="174" spans="1:14" x14ac:dyDescent="0.35">
      <c r="A174" t="s">
        <v>186</v>
      </c>
      <c r="B174" t="s">
        <v>686</v>
      </c>
      <c r="C174">
        <v>15</v>
      </c>
      <c r="D174" t="s">
        <v>1015</v>
      </c>
      <c r="E174" t="s">
        <v>1021</v>
      </c>
      <c r="F174" t="s">
        <v>1028</v>
      </c>
      <c r="G174" t="s">
        <v>1035</v>
      </c>
      <c r="H174" s="2">
        <v>45788</v>
      </c>
      <c r="I174" s="2">
        <v>45794</v>
      </c>
      <c r="J174">
        <v>219488</v>
      </c>
      <c r="K174">
        <v>6</v>
      </c>
      <c r="L174">
        <v>8</v>
      </c>
      <c r="M174">
        <v>2</v>
      </c>
      <c r="N174">
        <v>233624</v>
      </c>
    </row>
    <row r="175" spans="1:14" x14ac:dyDescent="0.35">
      <c r="A175" t="s">
        <v>187</v>
      </c>
      <c r="B175" t="s">
        <v>687</v>
      </c>
      <c r="C175">
        <v>60</v>
      </c>
      <c r="D175" t="s">
        <v>1015</v>
      </c>
      <c r="E175" t="s">
        <v>1016</v>
      </c>
      <c r="F175" t="s">
        <v>1023</v>
      </c>
      <c r="G175" t="s">
        <v>1030</v>
      </c>
      <c r="H175" s="2">
        <v>45785</v>
      </c>
      <c r="I175" s="2">
        <v>45800</v>
      </c>
      <c r="J175">
        <v>334475</v>
      </c>
      <c r="K175">
        <v>9</v>
      </c>
      <c r="L175">
        <v>6</v>
      </c>
      <c r="M175">
        <v>1</v>
      </c>
      <c r="N175">
        <v>0</v>
      </c>
    </row>
    <row r="176" spans="1:14" x14ac:dyDescent="0.35">
      <c r="A176" t="s">
        <v>188</v>
      </c>
      <c r="B176" t="s">
        <v>688</v>
      </c>
      <c r="C176">
        <v>80</v>
      </c>
      <c r="D176" t="s">
        <v>1015</v>
      </c>
      <c r="E176" t="s">
        <v>1017</v>
      </c>
      <c r="F176" t="s">
        <v>1024</v>
      </c>
      <c r="G176" t="s">
        <v>1031</v>
      </c>
      <c r="H176" s="2">
        <v>45763</v>
      </c>
      <c r="I176" s="2">
        <v>45773</v>
      </c>
      <c r="J176">
        <v>239676</v>
      </c>
      <c r="K176">
        <v>4</v>
      </c>
      <c r="L176">
        <v>11</v>
      </c>
      <c r="M176">
        <v>1</v>
      </c>
      <c r="N176">
        <v>0</v>
      </c>
    </row>
    <row r="177" spans="1:14" x14ac:dyDescent="0.35">
      <c r="A177" t="s">
        <v>189</v>
      </c>
      <c r="B177" t="s">
        <v>689</v>
      </c>
      <c r="C177">
        <v>35</v>
      </c>
      <c r="D177" t="s">
        <v>1014</v>
      </c>
      <c r="E177" t="s">
        <v>1022</v>
      </c>
      <c r="F177" t="s">
        <v>1029</v>
      </c>
      <c r="G177" t="s">
        <v>1041</v>
      </c>
      <c r="H177" s="2">
        <v>45760</v>
      </c>
      <c r="I177" s="2">
        <v>45762</v>
      </c>
      <c r="J177">
        <v>156723</v>
      </c>
      <c r="K177">
        <v>1</v>
      </c>
      <c r="L177">
        <v>19</v>
      </c>
      <c r="M177">
        <v>2</v>
      </c>
      <c r="N177">
        <v>0</v>
      </c>
    </row>
    <row r="178" spans="1:14" x14ac:dyDescent="0.35">
      <c r="A178" t="s">
        <v>190</v>
      </c>
      <c r="B178" t="s">
        <v>690</v>
      </c>
      <c r="C178">
        <v>16</v>
      </c>
      <c r="D178" t="s">
        <v>1014</v>
      </c>
      <c r="E178" t="s">
        <v>1020</v>
      </c>
      <c r="F178" t="s">
        <v>1027</v>
      </c>
      <c r="G178" t="s">
        <v>1043</v>
      </c>
      <c r="H178" s="2">
        <v>45756</v>
      </c>
      <c r="I178" s="2">
        <v>45769</v>
      </c>
      <c r="J178">
        <v>304128</v>
      </c>
      <c r="K178">
        <v>2</v>
      </c>
      <c r="L178">
        <v>13</v>
      </c>
      <c r="M178">
        <v>4</v>
      </c>
      <c r="N178">
        <v>0</v>
      </c>
    </row>
    <row r="179" spans="1:14" x14ac:dyDescent="0.35">
      <c r="A179" t="s">
        <v>191</v>
      </c>
      <c r="B179" t="s">
        <v>691</v>
      </c>
      <c r="C179">
        <v>71</v>
      </c>
      <c r="D179" t="s">
        <v>1014</v>
      </c>
      <c r="E179" t="s">
        <v>1016</v>
      </c>
      <c r="F179" t="s">
        <v>1023</v>
      </c>
      <c r="G179" t="s">
        <v>1040</v>
      </c>
      <c r="H179" s="2">
        <v>45775</v>
      </c>
      <c r="I179" s="2">
        <v>45779</v>
      </c>
      <c r="J179">
        <v>212922</v>
      </c>
      <c r="K179">
        <v>2</v>
      </c>
      <c r="L179">
        <v>10</v>
      </c>
      <c r="M179">
        <v>2</v>
      </c>
      <c r="N179">
        <v>0</v>
      </c>
    </row>
    <row r="180" spans="1:14" x14ac:dyDescent="0.35">
      <c r="A180" t="s">
        <v>192</v>
      </c>
      <c r="B180" t="s">
        <v>692</v>
      </c>
      <c r="C180">
        <v>15</v>
      </c>
      <c r="D180" t="s">
        <v>1015</v>
      </c>
      <c r="E180" t="s">
        <v>1018</v>
      </c>
      <c r="F180" t="s">
        <v>1025</v>
      </c>
      <c r="G180" t="s">
        <v>1044</v>
      </c>
      <c r="H180" s="2">
        <v>45759</v>
      </c>
      <c r="I180" s="2">
        <v>45764</v>
      </c>
      <c r="J180">
        <v>491138</v>
      </c>
      <c r="K180">
        <v>5</v>
      </c>
      <c r="L180">
        <v>3</v>
      </c>
      <c r="M180">
        <v>4</v>
      </c>
      <c r="N180">
        <v>0</v>
      </c>
    </row>
    <row r="181" spans="1:14" x14ac:dyDescent="0.35">
      <c r="A181" t="s">
        <v>193</v>
      </c>
      <c r="B181" t="s">
        <v>693</v>
      </c>
      <c r="C181">
        <v>64</v>
      </c>
      <c r="D181" t="s">
        <v>1015</v>
      </c>
      <c r="E181" t="s">
        <v>1016</v>
      </c>
      <c r="F181" t="s">
        <v>1023</v>
      </c>
      <c r="G181" t="s">
        <v>1040</v>
      </c>
      <c r="H181" s="2">
        <v>45766</v>
      </c>
      <c r="I181" s="2">
        <v>45781</v>
      </c>
      <c r="J181">
        <v>130725</v>
      </c>
      <c r="K181">
        <v>9</v>
      </c>
      <c r="L181">
        <v>1</v>
      </c>
      <c r="M181">
        <v>4</v>
      </c>
      <c r="N181">
        <v>0</v>
      </c>
    </row>
    <row r="182" spans="1:14" x14ac:dyDescent="0.35">
      <c r="A182" t="s">
        <v>194</v>
      </c>
      <c r="B182" t="s">
        <v>694</v>
      </c>
      <c r="C182">
        <v>61</v>
      </c>
      <c r="D182" t="s">
        <v>1014</v>
      </c>
      <c r="E182" t="s">
        <v>1020</v>
      </c>
      <c r="F182" t="s">
        <v>1027</v>
      </c>
      <c r="G182" t="s">
        <v>1034</v>
      </c>
      <c r="H182" s="2">
        <v>45779</v>
      </c>
      <c r="I182" s="2">
        <v>45794</v>
      </c>
      <c r="J182">
        <v>302968</v>
      </c>
      <c r="K182">
        <v>6</v>
      </c>
      <c r="L182">
        <v>1</v>
      </c>
      <c r="M182">
        <v>3</v>
      </c>
      <c r="N182">
        <v>0</v>
      </c>
    </row>
    <row r="183" spans="1:14" x14ac:dyDescent="0.35">
      <c r="A183" t="s">
        <v>195</v>
      </c>
      <c r="B183" t="s">
        <v>695</v>
      </c>
      <c r="C183">
        <v>25</v>
      </c>
      <c r="D183" t="s">
        <v>1014</v>
      </c>
      <c r="E183" t="s">
        <v>1019</v>
      </c>
      <c r="F183" t="s">
        <v>1026</v>
      </c>
      <c r="G183" t="s">
        <v>1033</v>
      </c>
      <c r="H183" s="2">
        <v>45766</v>
      </c>
      <c r="I183" s="2">
        <v>45770</v>
      </c>
      <c r="J183">
        <v>251109</v>
      </c>
      <c r="K183">
        <v>4</v>
      </c>
      <c r="L183">
        <v>10</v>
      </c>
      <c r="M183">
        <v>1</v>
      </c>
      <c r="N183">
        <v>0</v>
      </c>
    </row>
    <row r="184" spans="1:14" x14ac:dyDescent="0.35">
      <c r="A184" t="s">
        <v>196</v>
      </c>
      <c r="B184" t="s">
        <v>696</v>
      </c>
      <c r="C184">
        <v>54</v>
      </c>
      <c r="D184" t="s">
        <v>1015</v>
      </c>
      <c r="E184" t="s">
        <v>1021</v>
      </c>
      <c r="F184" t="s">
        <v>1028</v>
      </c>
      <c r="G184" t="s">
        <v>1036</v>
      </c>
      <c r="H184" s="2">
        <v>45777</v>
      </c>
      <c r="I184" s="2">
        <v>45791</v>
      </c>
      <c r="J184">
        <v>464190</v>
      </c>
      <c r="K184">
        <v>6</v>
      </c>
      <c r="L184">
        <v>1</v>
      </c>
      <c r="M184">
        <v>2</v>
      </c>
      <c r="N184">
        <v>165760</v>
      </c>
    </row>
    <row r="185" spans="1:14" x14ac:dyDescent="0.35">
      <c r="A185" t="s">
        <v>197</v>
      </c>
      <c r="B185" t="s">
        <v>697</v>
      </c>
      <c r="C185">
        <v>39</v>
      </c>
      <c r="D185" t="s">
        <v>1015</v>
      </c>
      <c r="E185" t="s">
        <v>1022</v>
      </c>
      <c r="F185" t="s">
        <v>1029</v>
      </c>
      <c r="G185" t="s">
        <v>1039</v>
      </c>
      <c r="H185" s="2">
        <v>45771</v>
      </c>
      <c r="I185" s="2">
        <v>45773</v>
      </c>
      <c r="J185">
        <v>198289</v>
      </c>
      <c r="K185">
        <v>3</v>
      </c>
      <c r="L185">
        <v>9</v>
      </c>
      <c r="M185">
        <v>1</v>
      </c>
      <c r="N185">
        <v>0</v>
      </c>
    </row>
    <row r="186" spans="1:14" x14ac:dyDescent="0.35">
      <c r="A186" t="s">
        <v>198</v>
      </c>
      <c r="B186" t="s">
        <v>698</v>
      </c>
      <c r="C186">
        <v>45</v>
      </c>
      <c r="D186" t="s">
        <v>1015</v>
      </c>
      <c r="E186" t="s">
        <v>1020</v>
      </c>
      <c r="F186" t="s">
        <v>1027</v>
      </c>
      <c r="G186" t="s">
        <v>1034</v>
      </c>
      <c r="H186" s="2">
        <v>45750</v>
      </c>
      <c r="I186" s="2">
        <v>45760</v>
      </c>
      <c r="J186">
        <v>303934</v>
      </c>
      <c r="K186">
        <v>8</v>
      </c>
      <c r="L186">
        <v>17</v>
      </c>
      <c r="M186">
        <v>3</v>
      </c>
      <c r="N186">
        <v>0</v>
      </c>
    </row>
    <row r="187" spans="1:14" x14ac:dyDescent="0.35">
      <c r="A187" t="s">
        <v>199</v>
      </c>
      <c r="B187" t="s">
        <v>699</v>
      </c>
      <c r="C187">
        <v>90</v>
      </c>
      <c r="D187" t="s">
        <v>1014</v>
      </c>
      <c r="E187" t="s">
        <v>1020</v>
      </c>
      <c r="F187" t="s">
        <v>1027</v>
      </c>
      <c r="G187" t="s">
        <v>1034</v>
      </c>
      <c r="H187" s="2">
        <v>45764</v>
      </c>
      <c r="I187" s="2">
        <v>45771</v>
      </c>
      <c r="J187">
        <v>148908</v>
      </c>
      <c r="K187">
        <v>4</v>
      </c>
      <c r="L187">
        <v>15</v>
      </c>
      <c r="M187">
        <v>1</v>
      </c>
      <c r="N187">
        <v>0</v>
      </c>
    </row>
    <row r="188" spans="1:14" x14ac:dyDescent="0.35">
      <c r="A188" t="s">
        <v>200</v>
      </c>
      <c r="B188" t="s">
        <v>700</v>
      </c>
      <c r="C188">
        <v>53</v>
      </c>
      <c r="D188" t="s">
        <v>1014</v>
      </c>
      <c r="E188" t="s">
        <v>1017</v>
      </c>
      <c r="F188" t="s">
        <v>1024</v>
      </c>
      <c r="G188" t="s">
        <v>1031</v>
      </c>
      <c r="H188" s="2">
        <v>45755</v>
      </c>
      <c r="I188" s="2">
        <v>45770</v>
      </c>
      <c r="J188">
        <v>456608</v>
      </c>
      <c r="K188">
        <v>1</v>
      </c>
      <c r="L188">
        <v>16</v>
      </c>
      <c r="M188">
        <v>4</v>
      </c>
      <c r="N188">
        <v>0</v>
      </c>
    </row>
    <row r="189" spans="1:14" x14ac:dyDescent="0.35">
      <c r="A189" t="s">
        <v>201</v>
      </c>
      <c r="B189" t="s">
        <v>701</v>
      </c>
      <c r="C189">
        <v>49</v>
      </c>
      <c r="D189" t="s">
        <v>1015</v>
      </c>
      <c r="E189" t="s">
        <v>1016</v>
      </c>
      <c r="F189" t="s">
        <v>1023</v>
      </c>
      <c r="G189" t="s">
        <v>1030</v>
      </c>
      <c r="H189" s="2">
        <v>45745</v>
      </c>
      <c r="I189" s="2">
        <v>45754</v>
      </c>
      <c r="J189">
        <v>419742</v>
      </c>
      <c r="K189">
        <v>9</v>
      </c>
      <c r="L189">
        <v>9</v>
      </c>
      <c r="M189">
        <v>2</v>
      </c>
      <c r="N189">
        <v>0</v>
      </c>
    </row>
    <row r="190" spans="1:14" x14ac:dyDescent="0.35">
      <c r="A190" t="s">
        <v>202</v>
      </c>
      <c r="B190" t="s">
        <v>702</v>
      </c>
      <c r="C190">
        <v>65</v>
      </c>
      <c r="D190" t="s">
        <v>1015</v>
      </c>
      <c r="E190" t="s">
        <v>1020</v>
      </c>
      <c r="F190" t="s">
        <v>1027</v>
      </c>
      <c r="G190" t="s">
        <v>1043</v>
      </c>
      <c r="H190" s="2">
        <v>45763</v>
      </c>
      <c r="I190" s="2">
        <v>45765</v>
      </c>
      <c r="J190">
        <v>116189</v>
      </c>
      <c r="K190">
        <v>4</v>
      </c>
      <c r="L190">
        <v>13</v>
      </c>
      <c r="M190">
        <v>2</v>
      </c>
      <c r="N190">
        <v>0</v>
      </c>
    </row>
    <row r="191" spans="1:14" x14ac:dyDescent="0.35">
      <c r="A191" t="s">
        <v>203</v>
      </c>
      <c r="B191" t="s">
        <v>703</v>
      </c>
      <c r="C191">
        <v>13</v>
      </c>
      <c r="D191" t="s">
        <v>1015</v>
      </c>
      <c r="E191" t="s">
        <v>1022</v>
      </c>
      <c r="F191" t="s">
        <v>1029</v>
      </c>
      <c r="G191" t="s">
        <v>1039</v>
      </c>
      <c r="H191" s="2">
        <v>45750</v>
      </c>
      <c r="I191" s="2">
        <v>45765</v>
      </c>
      <c r="J191">
        <v>280847</v>
      </c>
      <c r="K191">
        <v>2</v>
      </c>
      <c r="L191">
        <v>11</v>
      </c>
      <c r="M191">
        <v>2</v>
      </c>
      <c r="N191">
        <v>0</v>
      </c>
    </row>
    <row r="192" spans="1:14" x14ac:dyDescent="0.35">
      <c r="A192" t="s">
        <v>204</v>
      </c>
      <c r="B192" t="s">
        <v>704</v>
      </c>
      <c r="C192">
        <v>84</v>
      </c>
      <c r="D192" t="s">
        <v>1014</v>
      </c>
      <c r="E192" t="s">
        <v>1016</v>
      </c>
      <c r="F192" t="s">
        <v>1023</v>
      </c>
      <c r="G192" t="s">
        <v>1030</v>
      </c>
      <c r="H192" s="2">
        <v>45793</v>
      </c>
      <c r="I192" s="2">
        <v>45797</v>
      </c>
      <c r="J192">
        <v>264946</v>
      </c>
      <c r="K192">
        <v>2</v>
      </c>
      <c r="L192">
        <v>7</v>
      </c>
      <c r="M192">
        <v>3</v>
      </c>
      <c r="N192">
        <v>0</v>
      </c>
    </row>
    <row r="193" spans="1:14" x14ac:dyDescent="0.35">
      <c r="A193" t="s">
        <v>205</v>
      </c>
      <c r="B193" t="s">
        <v>705</v>
      </c>
      <c r="C193">
        <v>44</v>
      </c>
      <c r="D193" t="s">
        <v>1015</v>
      </c>
      <c r="E193" t="s">
        <v>1020</v>
      </c>
      <c r="F193" t="s">
        <v>1027</v>
      </c>
      <c r="G193" t="s">
        <v>1043</v>
      </c>
      <c r="H193" s="2">
        <v>45786</v>
      </c>
      <c r="I193" s="2">
        <v>45800</v>
      </c>
      <c r="J193">
        <v>188948</v>
      </c>
      <c r="K193">
        <v>6</v>
      </c>
      <c r="L193">
        <v>11</v>
      </c>
      <c r="M193">
        <v>1</v>
      </c>
      <c r="N193">
        <v>0</v>
      </c>
    </row>
    <row r="194" spans="1:14" x14ac:dyDescent="0.35">
      <c r="A194" t="s">
        <v>206</v>
      </c>
      <c r="B194" t="s">
        <v>706</v>
      </c>
      <c r="C194">
        <v>87</v>
      </c>
      <c r="D194" t="s">
        <v>1015</v>
      </c>
      <c r="E194" t="s">
        <v>1022</v>
      </c>
      <c r="F194" t="s">
        <v>1029</v>
      </c>
      <c r="G194" t="s">
        <v>1041</v>
      </c>
      <c r="H194" s="2">
        <v>45784</v>
      </c>
      <c r="I194" s="2">
        <v>45791</v>
      </c>
      <c r="J194">
        <v>496872</v>
      </c>
      <c r="K194">
        <v>9</v>
      </c>
      <c r="L194">
        <v>13</v>
      </c>
      <c r="M194">
        <v>4</v>
      </c>
      <c r="N194">
        <v>0</v>
      </c>
    </row>
    <row r="195" spans="1:14" x14ac:dyDescent="0.35">
      <c r="A195" t="s">
        <v>207</v>
      </c>
      <c r="B195" t="s">
        <v>707</v>
      </c>
      <c r="C195">
        <v>63</v>
      </c>
      <c r="D195" t="s">
        <v>1014</v>
      </c>
      <c r="E195" t="s">
        <v>1016</v>
      </c>
      <c r="F195" t="s">
        <v>1023</v>
      </c>
      <c r="G195" t="s">
        <v>1030</v>
      </c>
      <c r="H195" s="2">
        <v>45796</v>
      </c>
      <c r="I195" s="2">
        <v>45809</v>
      </c>
      <c r="J195">
        <v>448145</v>
      </c>
      <c r="K195">
        <v>1</v>
      </c>
      <c r="L195">
        <v>5</v>
      </c>
      <c r="M195">
        <v>2</v>
      </c>
      <c r="N195">
        <v>0</v>
      </c>
    </row>
    <row r="196" spans="1:14" x14ac:dyDescent="0.35">
      <c r="A196" t="s">
        <v>208</v>
      </c>
      <c r="B196" t="s">
        <v>708</v>
      </c>
      <c r="C196">
        <v>37</v>
      </c>
      <c r="D196" t="s">
        <v>1014</v>
      </c>
      <c r="E196" t="s">
        <v>1017</v>
      </c>
      <c r="F196" t="s">
        <v>1024</v>
      </c>
      <c r="G196" t="s">
        <v>1042</v>
      </c>
      <c r="H196" s="2">
        <v>45792</v>
      </c>
      <c r="I196" s="2">
        <v>45804</v>
      </c>
      <c r="J196">
        <v>408822</v>
      </c>
      <c r="K196">
        <v>3</v>
      </c>
      <c r="L196">
        <v>17</v>
      </c>
      <c r="M196">
        <v>3</v>
      </c>
      <c r="N196">
        <v>0</v>
      </c>
    </row>
    <row r="197" spans="1:14" x14ac:dyDescent="0.35">
      <c r="A197" t="s">
        <v>209</v>
      </c>
      <c r="B197" t="s">
        <v>709</v>
      </c>
      <c r="C197">
        <v>82</v>
      </c>
      <c r="D197" t="s">
        <v>1014</v>
      </c>
      <c r="E197" t="s">
        <v>1020</v>
      </c>
      <c r="F197" t="s">
        <v>1027</v>
      </c>
      <c r="G197" t="s">
        <v>1034</v>
      </c>
      <c r="H197" s="2">
        <v>45754</v>
      </c>
      <c r="I197" s="2">
        <v>45757</v>
      </c>
      <c r="J197">
        <v>448652</v>
      </c>
      <c r="K197">
        <v>4</v>
      </c>
      <c r="L197">
        <v>1</v>
      </c>
      <c r="M197">
        <v>1</v>
      </c>
      <c r="N197">
        <v>0</v>
      </c>
    </row>
    <row r="198" spans="1:14" x14ac:dyDescent="0.35">
      <c r="A198" t="s">
        <v>210</v>
      </c>
      <c r="B198" t="s">
        <v>710</v>
      </c>
      <c r="C198">
        <v>4</v>
      </c>
      <c r="D198" t="s">
        <v>1014</v>
      </c>
      <c r="E198" t="s">
        <v>1017</v>
      </c>
      <c r="F198" t="s">
        <v>1024</v>
      </c>
      <c r="G198" t="s">
        <v>1031</v>
      </c>
      <c r="H198" s="2">
        <v>45778</v>
      </c>
      <c r="I198" s="2">
        <v>45791</v>
      </c>
      <c r="J198">
        <v>207006</v>
      </c>
      <c r="K198">
        <v>6</v>
      </c>
      <c r="L198">
        <v>1</v>
      </c>
      <c r="M198">
        <v>1</v>
      </c>
      <c r="N198">
        <v>0</v>
      </c>
    </row>
    <row r="199" spans="1:14" x14ac:dyDescent="0.35">
      <c r="A199" t="s">
        <v>211</v>
      </c>
      <c r="B199" t="s">
        <v>711</v>
      </c>
      <c r="C199">
        <v>46</v>
      </c>
      <c r="D199" t="s">
        <v>1015</v>
      </c>
      <c r="E199" t="s">
        <v>1022</v>
      </c>
      <c r="F199" t="s">
        <v>1029</v>
      </c>
      <c r="G199" t="s">
        <v>1041</v>
      </c>
      <c r="H199" s="2">
        <v>45782</v>
      </c>
      <c r="I199" s="2">
        <v>45784</v>
      </c>
      <c r="J199">
        <v>203809</v>
      </c>
      <c r="K199">
        <v>9</v>
      </c>
      <c r="L199">
        <v>7</v>
      </c>
      <c r="M199">
        <v>1</v>
      </c>
      <c r="N199">
        <v>0</v>
      </c>
    </row>
    <row r="200" spans="1:14" x14ac:dyDescent="0.35">
      <c r="A200" t="s">
        <v>212</v>
      </c>
      <c r="B200" t="s">
        <v>712</v>
      </c>
      <c r="C200">
        <v>53</v>
      </c>
      <c r="D200" t="s">
        <v>1014</v>
      </c>
      <c r="E200" t="s">
        <v>1017</v>
      </c>
      <c r="F200" t="s">
        <v>1024</v>
      </c>
      <c r="G200" t="s">
        <v>1042</v>
      </c>
      <c r="H200" s="2">
        <v>45761</v>
      </c>
      <c r="I200" s="2">
        <v>45766</v>
      </c>
      <c r="J200">
        <v>328484</v>
      </c>
      <c r="K200">
        <v>8</v>
      </c>
      <c r="L200">
        <v>3</v>
      </c>
      <c r="M200">
        <v>2</v>
      </c>
      <c r="N200">
        <v>0</v>
      </c>
    </row>
    <row r="201" spans="1:14" x14ac:dyDescent="0.35">
      <c r="A201" t="s">
        <v>213</v>
      </c>
      <c r="B201" t="s">
        <v>713</v>
      </c>
      <c r="C201">
        <v>49</v>
      </c>
      <c r="D201" t="s">
        <v>1014</v>
      </c>
      <c r="E201" t="s">
        <v>1017</v>
      </c>
      <c r="F201" t="s">
        <v>1024</v>
      </c>
      <c r="G201" t="s">
        <v>1031</v>
      </c>
      <c r="H201" s="2">
        <v>45767</v>
      </c>
      <c r="I201" s="2">
        <v>45770</v>
      </c>
      <c r="J201">
        <v>369549</v>
      </c>
      <c r="K201">
        <v>9</v>
      </c>
      <c r="L201">
        <v>11</v>
      </c>
      <c r="M201">
        <v>3</v>
      </c>
      <c r="N201">
        <v>0</v>
      </c>
    </row>
    <row r="202" spans="1:14" x14ac:dyDescent="0.35">
      <c r="A202" t="s">
        <v>214</v>
      </c>
      <c r="B202" t="s">
        <v>714</v>
      </c>
      <c r="C202">
        <v>60</v>
      </c>
      <c r="D202" t="s">
        <v>1015</v>
      </c>
      <c r="E202" t="s">
        <v>1019</v>
      </c>
      <c r="F202" t="s">
        <v>1026</v>
      </c>
      <c r="G202" t="s">
        <v>1038</v>
      </c>
      <c r="H202" s="2">
        <v>45776</v>
      </c>
      <c r="I202" s="2">
        <v>45780</v>
      </c>
      <c r="J202">
        <v>171733</v>
      </c>
      <c r="K202">
        <v>5</v>
      </c>
      <c r="L202">
        <v>8</v>
      </c>
      <c r="M202">
        <v>2</v>
      </c>
      <c r="N202">
        <v>0</v>
      </c>
    </row>
    <row r="203" spans="1:14" x14ac:dyDescent="0.35">
      <c r="A203" t="s">
        <v>215</v>
      </c>
      <c r="B203" t="s">
        <v>715</v>
      </c>
      <c r="C203">
        <v>60</v>
      </c>
      <c r="D203" t="s">
        <v>1015</v>
      </c>
      <c r="E203" t="s">
        <v>1021</v>
      </c>
      <c r="F203" t="s">
        <v>1028</v>
      </c>
      <c r="G203" t="s">
        <v>1035</v>
      </c>
      <c r="H203" s="2">
        <v>45762</v>
      </c>
      <c r="I203" s="2">
        <v>45774</v>
      </c>
      <c r="J203">
        <v>54926</v>
      </c>
      <c r="K203">
        <v>6</v>
      </c>
      <c r="L203">
        <v>18</v>
      </c>
      <c r="M203">
        <v>3</v>
      </c>
      <c r="N203">
        <v>253221</v>
      </c>
    </row>
    <row r="204" spans="1:14" x14ac:dyDescent="0.35">
      <c r="A204" t="s">
        <v>216</v>
      </c>
      <c r="B204" t="s">
        <v>716</v>
      </c>
      <c r="C204">
        <v>76</v>
      </c>
      <c r="D204" t="s">
        <v>1015</v>
      </c>
      <c r="E204" t="s">
        <v>1018</v>
      </c>
      <c r="F204" t="s">
        <v>1025</v>
      </c>
      <c r="G204" t="s">
        <v>1032</v>
      </c>
      <c r="H204" s="2">
        <v>45768</v>
      </c>
      <c r="I204" s="2">
        <v>45777</v>
      </c>
      <c r="J204">
        <v>231175</v>
      </c>
      <c r="K204">
        <v>8</v>
      </c>
      <c r="L204">
        <v>5</v>
      </c>
      <c r="M204">
        <v>3</v>
      </c>
      <c r="N204">
        <v>0</v>
      </c>
    </row>
    <row r="205" spans="1:14" x14ac:dyDescent="0.35">
      <c r="A205" t="s">
        <v>217</v>
      </c>
      <c r="B205" t="s">
        <v>717</v>
      </c>
      <c r="C205">
        <v>59</v>
      </c>
      <c r="D205" t="s">
        <v>1015</v>
      </c>
      <c r="E205" t="s">
        <v>1020</v>
      </c>
      <c r="F205" t="s">
        <v>1027</v>
      </c>
      <c r="G205" t="s">
        <v>1043</v>
      </c>
      <c r="H205" s="2">
        <v>45793</v>
      </c>
      <c r="I205" s="2">
        <v>45806</v>
      </c>
      <c r="J205">
        <v>181123</v>
      </c>
      <c r="K205">
        <v>4</v>
      </c>
      <c r="L205">
        <v>17</v>
      </c>
      <c r="M205">
        <v>2</v>
      </c>
      <c r="N205">
        <v>0</v>
      </c>
    </row>
    <row r="206" spans="1:14" x14ac:dyDescent="0.35">
      <c r="A206" t="s">
        <v>218</v>
      </c>
      <c r="B206" t="s">
        <v>718</v>
      </c>
      <c r="C206">
        <v>14</v>
      </c>
      <c r="D206" t="s">
        <v>1014</v>
      </c>
      <c r="E206" t="s">
        <v>1020</v>
      </c>
      <c r="F206" t="s">
        <v>1027</v>
      </c>
      <c r="G206" t="s">
        <v>1034</v>
      </c>
      <c r="H206" s="2">
        <v>45790</v>
      </c>
      <c r="I206" s="2">
        <v>45805</v>
      </c>
      <c r="J206">
        <v>303340</v>
      </c>
      <c r="K206">
        <v>6</v>
      </c>
      <c r="L206">
        <v>13</v>
      </c>
      <c r="M206">
        <v>4</v>
      </c>
      <c r="N206">
        <v>0</v>
      </c>
    </row>
    <row r="207" spans="1:14" x14ac:dyDescent="0.35">
      <c r="A207" t="s">
        <v>219</v>
      </c>
      <c r="B207" t="s">
        <v>719</v>
      </c>
      <c r="C207">
        <v>38</v>
      </c>
      <c r="D207" t="s">
        <v>1015</v>
      </c>
      <c r="E207" t="s">
        <v>1019</v>
      </c>
      <c r="F207" t="s">
        <v>1026</v>
      </c>
      <c r="G207" t="s">
        <v>1033</v>
      </c>
      <c r="H207" s="2">
        <v>45794</v>
      </c>
      <c r="I207" s="2">
        <v>45801</v>
      </c>
      <c r="J207">
        <v>351366</v>
      </c>
      <c r="K207">
        <v>6</v>
      </c>
      <c r="L207">
        <v>6</v>
      </c>
      <c r="M207">
        <v>4</v>
      </c>
      <c r="N207">
        <v>0</v>
      </c>
    </row>
    <row r="208" spans="1:14" x14ac:dyDescent="0.35">
      <c r="A208" t="s">
        <v>220</v>
      </c>
      <c r="B208" t="s">
        <v>720</v>
      </c>
      <c r="C208">
        <v>36</v>
      </c>
      <c r="D208" t="s">
        <v>1014</v>
      </c>
      <c r="E208" t="s">
        <v>1022</v>
      </c>
      <c r="F208" t="s">
        <v>1029</v>
      </c>
      <c r="G208" t="s">
        <v>1039</v>
      </c>
      <c r="H208" s="2">
        <v>45788</v>
      </c>
      <c r="I208" s="2">
        <v>45800</v>
      </c>
      <c r="J208">
        <v>257516</v>
      </c>
      <c r="K208">
        <v>2</v>
      </c>
      <c r="L208">
        <v>18</v>
      </c>
      <c r="M208">
        <v>2</v>
      </c>
      <c r="N208">
        <v>0</v>
      </c>
    </row>
    <row r="209" spans="1:14" x14ac:dyDescent="0.35">
      <c r="A209" t="s">
        <v>221</v>
      </c>
      <c r="B209" t="s">
        <v>721</v>
      </c>
      <c r="C209">
        <v>37</v>
      </c>
      <c r="D209" t="s">
        <v>1014</v>
      </c>
      <c r="E209" t="s">
        <v>1019</v>
      </c>
      <c r="F209" t="s">
        <v>1026</v>
      </c>
      <c r="G209" t="s">
        <v>1038</v>
      </c>
      <c r="H209" s="2">
        <v>45780</v>
      </c>
      <c r="I209" s="2">
        <v>45793</v>
      </c>
      <c r="J209">
        <v>310428</v>
      </c>
      <c r="K209">
        <v>3</v>
      </c>
      <c r="L209">
        <v>12</v>
      </c>
      <c r="M209">
        <v>3</v>
      </c>
      <c r="N209">
        <v>0</v>
      </c>
    </row>
    <row r="210" spans="1:14" x14ac:dyDescent="0.35">
      <c r="A210" t="s">
        <v>222</v>
      </c>
      <c r="B210" t="s">
        <v>722</v>
      </c>
      <c r="C210">
        <v>80</v>
      </c>
      <c r="D210" t="s">
        <v>1015</v>
      </c>
      <c r="E210" t="s">
        <v>1017</v>
      </c>
      <c r="F210" t="s">
        <v>1024</v>
      </c>
      <c r="G210" t="s">
        <v>1042</v>
      </c>
      <c r="H210" s="2">
        <v>45801</v>
      </c>
      <c r="I210" s="2">
        <v>45813</v>
      </c>
      <c r="J210">
        <v>149683</v>
      </c>
      <c r="K210">
        <v>5</v>
      </c>
      <c r="L210">
        <v>14</v>
      </c>
      <c r="M210">
        <v>2</v>
      </c>
      <c r="N210">
        <v>0</v>
      </c>
    </row>
    <row r="211" spans="1:14" x14ac:dyDescent="0.35">
      <c r="A211" t="s">
        <v>223</v>
      </c>
      <c r="B211" t="s">
        <v>723</v>
      </c>
      <c r="C211">
        <v>83</v>
      </c>
      <c r="D211" t="s">
        <v>1014</v>
      </c>
      <c r="E211" t="s">
        <v>1016</v>
      </c>
      <c r="F211" t="s">
        <v>1023</v>
      </c>
      <c r="G211" t="s">
        <v>1040</v>
      </c>
      <c r="H211" s="2">
        <v>45758</v>
      </c>
      <c r="I211" s="2">
        <v>45761</v>
      </c>
      <c r="J211">
        <v>378968</v>
      </c>
      <c r="K211">
        <v>6</v>
      </c>
      <c r="L211">
        <v>14</v>
      </c>
      <c r="M211">
        <v>3</v>
      </c>
      <c r="N211">
        <v>0</v>
      </c>
    </row>
    <row r="212" spans="1:14" x14ac:dyDescent="0.35">
      <c r="A212" t="s">
        <v>224</v>
      </c>
      <c r="B212" t="s">
        <v>724</v>
      </c>
      <c r="C212">
        <v>75</v>
      </c>
      <c r="D212" t="s">
        <v>1015</v>
      </c>
      <c r="E212" t="s">
        <v>1022</v>
      </c>
      <c r="F212" t="s">
        <v>1029</v>
      </c>
      <c r="G212" t="s">
        <v>1039</v>
      </c>
      <c r="H212" s="2">
        <v>45776</v>
      </c>
      <c r="I212" s="2">
        <v>45785</v>
      </c>
      <c r="J212">
        <v>67492</v>
      </c>
      <c r="K212">
        <v>6</v>
      </c>
      <c r="L212">
        <v>19</v>
      </c>
      <c r="M212">
        <v>1</v>
      </c>
      <c r="N212">
        <v>0</v>
      </c>
    </row>
    <row r="213" spans="1:14" x14ac:dyDescent="0.35">
      <c r="A213" t="s">
        <v>225</v>
      </c>
      <c r="B213" t="s">
        <v>725</v>
      </c>
      <c r="C213">
        <v>54</v>
      </c>
      <c r="D213" t="s">
        <v>1014</v>
      </c>
      <c r="E213" t="s">
        <v>1018</v>
      </c>
      <c r="F213" t="s">
        <v>1025</v>
      </c>
      <c r="G213" t="s">
        <v>1044</v>
      </c>
      <c r="H213" s="2">
        <v>45788</v>
      </c>
      <c r="I213" s="2">
        <v>45794</v>
      </c>
      <c r="J213">
        <v>221294</v>
      </c>
      <c r="K213">
        <v>1</v>
      </c>
      <c r="L213">
        <v>16</v>
      </c>
      <c r="M213">
        <v>2</v>
      </c>
      <c r="N213">
        <v>0</v>
      </c>
    </row>
    <row r="214" spans="1:14" x14ac:dyDescent="0.35">
      <c r="A214" t="s">
        <v>226</v>
      </c>
      <c r="B214" t="s">
        <v>726</v>
      </c>
      <c r="C214">
        <v>47</v>
      </c>
      <c r="D214" t="s">
        <v>1015</v>
      </c>
      <c r="E214" t="s">
        <v>1017</v>
      </c>
      <c r="F214" t="s">
        <v>1024</v>
      </c>
      <c r="G214" t="s">
        <v>1042</v>
      </c>
      <c r="H214" s="2">
        <v>45790</v>
      </c>
      <c r="I214" s="2">
        <v>45804</v>
      </c>
      <c r="J214">
        <v>332805</v>
      </c>
      <c r="K214">
        <v>3</v>
      </c>
      <c r="L214">
        <v>9</v>
      </c>
      <c r="M214">
        <v>2</v>
      </c>
      <c r="N214">
        <v>0</v>
      </c>
    </row>
    <row r="215" spans="1:14" x14ac:dyDescent="0.35">
      <c r="A215" t="s">
        <v>227</v>
      </c>
      <c r="B215" t="s">
        <v>727</v>
      </c>
      <c r="C215">
        <v>38</v>
      </c>
      <c r="D215" t="s">
        <v>1015</v>
      </c>
      <c r="E215" t="s">
        <v>1021</v>
      </c>
      <c r="F215" t="s">
        <v>1028</v>
      </c>
      <c r="G215" t="s">
        <v>1035</v>
      </c>
      <c r="H215" s="2">
        <v>45787</v>
      </c>
      <c r="I215" s="2">
        <v>45802</v>
      </c>
      <c r="J215">
        <v>302627</v>
      </c>
      <c r="K215">
        <v>1</v>
      </c>
      <c r="L215">
        <v>7</v>
      </c>
      <c r="M215">
        <v>3</v>
      </c>
      <c r="N215">
        <v>238948</v>
      </c>
    </row>
    <row r="216" spans="1:14" x14ac:dyDescent="0.35">
      <c r="A216" t="s">
        <v>228</v>
      </c>
      <c r="B216" t="s">
        <v>728</v>
      </c>
      <c r="C216">
        <v>29</v>
      </c>
      <c r="D216" t="s">
        <v>1015</v>
      </c>
      <c r="E216" t="s">
        <v>1020</v>
      </c>
      <c r="F216" t="s">
        <v>1027</v>
      </c>
      <c r="G216" t="s">
        <v>1034</v>
      </c>
      <c r="H216" s="2">
        <v>45746</v>
      </c>
      <c r="I216" s="2">
        <v>45749</v>
      </c>
      <c r="J216">
        <v>123797</v>
      </c>
      <c r="K216">
        <v>5</v>
      </c>
      <c r="L216">
        <v>13</v>
      </c>
      <c r="M216">
        <v>2</v>
      </c>
      <c r="N216">
        <v>0</v>
      </c>
    </row>
    <row r="217" spans="1:14" x14ac:dyDescent="0.35">
      <c r="A217" t="s">
        <v>229</v>
      </c>
      <c r="B217" t="s">
        <v>729</v>
      </c>
      <c r="C217">
        <v>2</v>
      </c>
      <c r="D217" t="s">
        <v>1015</v>
      </c>
      <c r="E217" t="s">
        <v>1018</v>
      </c>
      <c r="F217" t="s">
        <v>1025</v>
      </c>
      <c r="G217" t="s">
        <v>1032</v>
      </c>
      <c r="H217" s="2">
        <v>45776</v>
      </c>
      <c r="I217" s="2">
        <v>45790</v>
      </c>
      <c r="J217">
        <v>256870</v>
      </c>
      <c r="K217">
        <v>7</v>
      </c>
      <c r="L217">
        <v>19</v>
      </c>
      <c r="M217">
        <v>4</v>
      </c>
      <c r="N217">
        <v>0</v>
      </c>
    </row>
    <row r="218" spans="1:14" x14ac:dyDescent="0.35">
      <c r="A218" t="s">
        <v>230</v>
      </c>
      <c r="B218" t="s">
        <v>730</v>
      </c>
      <c r="C218">
        <v>87</v>
      </c>
      <c r="D218" t="s">
        <v>1015</v>
      </c>
      <c r="E218" t="s">
        <v>1018</v>
      </c>
      <c r="F218" t="s">
        <v>1025</v>
      </c>
      <c r="G218" t="s">
        <v>1032</v>
      </c>
      <c r="H218" s="2">
        <v>45783</v>
      </c>
      <c r="I218" s="2">
        <v>45792</v>
      </c>
      <c r="J218">
        <v>243245</v>
      </c>
      <c r="K218">
        <v>1</v>
      </c>
      <c r="L218">
        <v>17</v>
      </c>
      <c r="M218">
        <v>1</v>
      </c>
      <c r="N218">
        <v>0</v>
      </c>
    </row>
    <row r="219" spans="1:14" x14ac:dyDescent="0.35">
      <c r="A219" t="s">
        <v>231</v>
      </c>
      <c r="B219" t="s">
        <v>731</v>
      </c>
      <c r="C219">
        <v>48</v>
      </c>
      <c r="D219" t="s">
        <v>1014</v>
      </c>
      <c r="E219" t="s">
        <v>1020</v>
      </c>
      <c r="F219" t="s">
        <v>1027</v>
      </c>
      <c r="G219" t="s">
        <v>1043</v>
      </c>
      <c r="H219" s="2">
        <v>45801</v>
      </c>
      <c r="I219" s="2">
        <v>45816</v>
      </c>
      <c r="J219">
        <v>384783</v>
      </c>
      <c r="K219">
        <v>6</v>
      </c>
      <c r="L219">
        <v>1</v>
      </c>
      <c r="M219">
        <v>1</v>
      </c>
      <c r="N219">
        <v>0</v>
      </c>
    </row>
    <row r="220" spans="1:14" x14ac:dyDescent="0.35">
      <c r="A220" t="s">
        <v>232</v>
      </c>
      <c r="B220" t="s">
        <v>732</v>
      </c>
      <c r="C220">
        <v>72</v>
      </c>
      <c r="D220" t="s">
        <v>1015</v>
      </c>
      <c r="E220" t="s">
        <v>1020</v>
      </c>
      <c r="F220" t="s">
        <v>1027</v>
      </c>
      <c r="G220" t="s">
        <v>1043</v>
      </c>
      <c r="H220" s="2">
        <v>45788</v>
      </c>
      <c r="I220" s="2">
        <v>45790</v>
      </c>
      <c r="J220">
        <v>374820</v>
      </c>
      <c r="K220">
        <v>3</v>
      </c>
      <c r="L220">
        <v>3</v>
      </c>
      <c r="M220">
        <v>3</v>
      </c>
      <c r="N220">
        <v>0</v>
      </c>
    </row>
    <row r="221" spans="1:14" x14ac:dyDescent="0.35">
      <c r="A221" t="s">
        <v>233</v>
      </c>
      <c r="B221" t="s">
        <v>733</v>
      </c>
      <c r="C221">
        <v>60</v>
      </c>
      <c r="D221" t="s">
        <v>1015</v>
      </c>
      <c r="E221" t="s">
        <v>1016</v>
      </c>
      <c r="F221" t="s">
        <v>1023</v>
      </c>
      <c r="G221" t="s">
        <v>1040</v>
      </c>
      <c r="H221" s="2">
        <v>45781</v>
      </c>
      <c r="I221" s="2">
        <v>45784</v>
      </c>
      <c r="J221">
        <v>383134</v>
      </c>
      <c r="K221">
        <v>8</v>
      </c>
      <c r="L221">
        <v>19</v>
      </c>
      <c r="M221">
        <v>3</v>
      </c>
      <c r="N221">
        <v>0</v>
      </c>
    </row>
    <row r="222" spans="1:14" x14ac:dyDescent="0.35">
      <c r="A222" t="s">
        <v>234</v>
      </c>
      <c r="B222" t="s">
        <v>734</v>
      </c>
      <c r="C222">
        <v>5</v>
      </c>
      <c r="D222" t="s">
        <v>1015</v>
      </c>
      <c r="E222" t="s">
        <v>1018</v>
      </c>
      <c r="F222" t="s">
        <v>1025</v>
      </c>
      <c r="G222" t="s">
        <v>1037</v>
      </c>
      <c r="H222" s="2">
        <v>45802</v>
      </c>
      <c r="I222" s="2">
        <v>45806</v>
      </c>
      <c r="J222">
        <v>73774</v>
      </c>
      <c r="K222">
        <v>5</v>
      </c>
      <c r="L222">
        <v>12</v>
      </c>
      <c r="M222">
        <v>4</v>
      </c>
      <c r="N222">
        <v>0</v>
      </c>
    </row>
    <row r="223" spans="1:14" x14ac:dyDescent="0.35">
      <c r="A223" t="s">
        <v>235</v>
      </c>
      <c r="B223" t="s">
        <v>735</v>
      </c>
      <c r="C223">
        <v>69</v>
      </c>
      <c r="D223" t="s">
        <v>1014</v>
      </c>
      <c r="E223" t="s">
        <v>1018</v>
      </c>
      <c r="F223" t="s">
        <v>1025</v>
      </c>
      <c r="G223" t="s">
        <v>1037</v>
      </c>
      <c r="H223" s="2">
        <v>45749</v>
      </c>
      <c r="I223" s="2">
        <v>45752</v>
      </c>
      <c r="J223">
        <v>173102</v>
      </c>
      <c r="K223">
        <v>6</v>
      </c>
      <c r="L223">
        <v>13</v>
      </c>
      <c r="M223">
        <v>3</v>
      </c>
      <c r="N223">
        <v>0</v>
      </c>
    </row>
    <row r="224" spans="1:14" x14ac:dyDescent="0.35">
      <c r="A224" t="s">
        <v>236</v>
      </c>
      <c r="B224" t="s">
        <v>736</v>
      </c>
      <c r="C224">
        <v>90</v>
      </c>
      <c r="D224" t="s">
        <v>1015</v>
      </c>
      <c r="E224" t="s">
        <v>1020</v>
      </c>
      <c r="F224" t="s">
        <v>1027</v>
      </c>
      <c r="G224" t="s">
        <v>1043</v>
      </c>
      <c r="H224" s="2">
        <v>45792</v>
      </c>
      <c r="I224" s="2">
        <v>45799</v>
      </c>
      <c r="J224">
        <v>401527</v>
      </c>
      <c r="K224">
        <v>1</v>
      </c>
      <c r="L224">
        <v>12</v>
      </c>
      <c r="M224">
        <v>3</v>
      </c>
      <c r="N224">
        <v>0</v>
      </c>
    </row>
    <row r="225" spans="1:14" x14ac:dyDescent="0.35">
      <c r="A225" t="s">
        <v>237</v>
      </c>
      <c r="B225" t="s">
        <v>737</v>
      </c>
      <c r="C225">
        <v>63</v>
      </c>
      <c r="D225" t="s">
        <v>1015</v>
      </c>
      <c r="E225" t="s">
        <v>1020</v>
      </c>
      <c r="F225" t="s">
        <v>1027</v>
      </c>
      <c r="G225" t="s">
        <v>1034</v>
      </c>
      <c r="H225" s="2">
        <v>45777</v>
      </c>
      <c r="I225" s="2">
        <v>45789</v>
      </c>
      <c r="J225">
        <v>101915</v>
      </c>
      <c r="K225">
        <v>4</v>
      </c>
      <c r="L225">
        <v>10</v>
      </c>
      <c r="M225">
        <v>4</v>
      </c>
      <c r="N225">
        <v>0</v>
      </c>
    </row>
    <row r="226" spans="1:14" x14ac:dyDescent="0.35">
      <c r="A226" t="s">
        <v>238</v>
      </c>
      <c r="B226" t="s">
        <v>738</v>
      </c>
      <c r="C226">
        <v>28</v>
      </c>
      <c r="D226" t="s">
        <v>1015</v>
      </c>
      <c r="E226" t="s">
        <v>1018</v>
      </c>
      <c r="F226" t="s">
        <v>1025</v>
      </c>
      <c r="G226" t="s">
        <v>1037</v>
      </c>
      <c r="H226" s="2">
        <v>45797</v>
      </c>
      <c r="I226" s="2">
        <v>45810</v>
      </c>
      <c r="J226">
        <v>244264</v>
      </c>
      <c r="K226">
        <v>4</v>
      </c>
      <c r="L226">
        <v>2</v>
      </c>
      <c r="M226">
        <v>1</v>
      </c>
      <c r="N226">
        <v>0</v>
      </c>
    </row>
    <row r="227" spans="1:14" x14ac:dyDescent="0.35">
      <c r="A227" t="s">
        <v>239</v>
      </c>
      <c r="B227" t="s">
        <v>739</v>
      </c>
      <c r="C227">
        <v>13</v>
      </c>
      <c r="D227" t="s">
        <v>1015</v>
      </c>
      <c r="E227" t="s">
        <v>1017</v>
      </c>
      <c r="F227" t="s">
        <v>1024</v>
      </c>
      <c r="G227" t="s">
        <v>1031</v>
      </c>
      <c r="H227" s="2">
        <v>45776</v>
      </c>
      <c r="I227" s="2">
        <v>45791</v>
      </c>
      <c r="J227">
        <v>240151</v>
      </c>
      <c r="K227">
        <v>2</v>
      </c>
      <c r="L227">
        <v>17</v>
      </c>
      <c r="M227">
        <v>2</v>
      </c>
      <c r="N227">
        <v>0</v>
      </c>
    </row>
    <row r="228" spans="1:14" x14ac:dyDescent="0.35">
      <c r="A228" t="s">
        <v>240</v>
      </c>
      <c r="B228" t="s">
        <v>740</v>
      </c>
      <c r="C228">
        <v>25</v>
      </c>
      <c r="D228" t="s">
        <v>1014</v>
      </c>
      <c r="E228" t="s">
        <v>1018</v>
      </c>
      <c r="F228" t="s">
        <v>1025</v>
      </c>
      <c r="G228" t="s">
        <v>1037</v>
      </c>
      <c r="H228" s="2">
        <v>45797</v>
      </c>
      <c r="I228" s="2">
        <v>45805</v>
      </c>
      <c r="J228">
        <v>194641</v>
      </c>
      <c r="K228">
        <v>4</v>
      </c>
      <c r="L228">
        <v>5</v>
      </c>
      <c r="M228">
        <v>1</v>
      </c>
      <c r="N228">
        <v>0</v>
      </c>
    </row>
    <row r="229" spans="1:14" x14ac:dyDescent="0.35">
      <c r="A229" t="s">
        <v>241</v>
      </c>
      <c r="B229" t="s">
        <v>741</v>
      </c>
      <c r="C229">
        <v>83</v>
      </c>
      <c r="D229" t="s">
        <v>1014</v>
      </c>
      <c r="E229" t="s">
        <v>1018</v>
      </c>
      <c r="F229" t="s">
        <v>1025</v>
      </c>
      <c r="G229" t="s">
        <v>1044</v>
      </c>
      <c r="H229" s="2">
        <v>45758</v>
      </c>
      <c r="I229" s="2">
        <v>45770</v>
      </c>
      <c r="J229">
        <v>161204</v>
      </c>
      <c r="K229">
        <v>7</v>
      </c>
      <c r="L229">
        <v>13</v>
      </c>
      <c r="M229">
        <v>4</v>
      </c>
      <c r="N229">
        <v>0</v>
      </c>
    </row>
    <row r="230" spans="1:14" x14ac:dyDescent="0.35">
      <c r="A230" t="s">
        <v>242</v>
      </c>
      <c r="B230" t="s">
        <v>742</v>
      </c>
      <c r="C230">
        <v>17</v>
      </c>
      <c r="D230" t="s">
        <v>1014</v>
      </c>
      <c r="E230" t="s">
        <v>1022</v>
      </c>
      <c r="F230" t="s">
        <v>1029</v>
      </c>
      <c r="G230" t="s">
        <v>1039</v>
      </c>
      <c r="H230" s="2">
        <v>45746</v>
      </c>
      <c r="I230" s="2">
        <v>45753</v>
      </c>
      <c r="J230">
        <v>177700</v>
      </c>
      <c r="K230">
        <v>7</v>
      </c>
      <c r="L230">
        <v>10</v>
      </c>
      <c r="M230">
        <v>4</v>
      </c>
      <c r="N230">
        <v>0</v>
      </c>
    </row>
    <row r="231" spans="1:14" x14ac:dyDescent="0.35">
      <c r="A231" t="s">
        <v>243</v>
      </c>
      <c r="B231" t="s">
        <v>743</v>
      </c>
      <c r="C231">
        <v>27</v>
      </c>
      <c r="D231" t="s">
        <v>1014</v>
      </c>
      <c r="E231" t="s">
        <v>1022</v>
      </c>
      <c r="F231" t="s">
        <v>1029</v>
      </c>
      <c r="G231" t="s">
        <v>1039</v>
      </c>
      <c r="H231" s="2">
        <v>45755</v>
      </c>
      <c r="I231" s="2">
        <v>45769</v>
      </c>
      <c r="J231">
        <v>340564</v>
      </c>
      <c r="K231">
        <v>5</v>
      </c>
      <c r="L231">
        <v>1</v>
      </c>
      <c r="M231">
        <v>3</v>
      </c>
      <c r="N231">
        <v>0</v>
      </c>
    </row>
    <row r="232" spans="1:14" x14ac:dyDescent="0.35">
      <c r="A232" t="s">
        <v>244</v>
      </c>
      <c r="B232" t="s">
        <v>744</v>
      </c>
      <c r="C232">
        <v>77</v>
      </c>
      <c r="D232" t="s">
        <v>1014</v>
      </c>
      <c r="E232" t="s">
        <v>1021</v>
      </c>
      <c r="F232" t="s">
        <v>1028</v>
      </c>
      <c r="G232" t="s">
        <v>1036</v>
      </c>
      <c r="H232" s="2">
        <v>45774</v>
      </c>
      <c r="I232" s="2">
        <v>45788</v>
      </c>
      <c r="J232">
        <v>127360</v>
      </c>
      <c r="K232">
        <v>1</v>
      </c>
      <c r="L232">
        <v>3</v>
      </c>
      <c r="M232">
        <v>1</v>
      </c>
      <c r="N232">
        <v>227212</v>
      </c>
    </row>
    <row r="233" spans="1:14" x14ac:dyDescent="0.35">
      <c r="A233" t="s">
        <v>245</v>
      </c>
      <c r="B233" t="s">
        <v>745</v>
      </c>
      <c r="C233">
        <v>70</v>
      </c>
      <c r="D233" t="s">
        <v>1015</v>
      </c>
      <c r="E233" t="s">
        <v>1022</v>
      </c>
      <c r="F233" t="s">
        <v>1029</v>
      </c>
      <c r="G233" t="s">
        <v>1039</v>
      </c>
      <c r="H233" s="2">
        <v>45755</v>
      </c>
      <c r="I233" s="2">
        <v>45759</v>
      </c>
      <c r="J233">
        <v>118153</v>
      </c>
      <c r="K233">
        <v>2</v>
      </c>
      <c r="L233">
        <v>19</v>
      </c>
      <c r="M233">
        <v>3</v>
      </c>
      <c r="N233">
        <v>0</v>
      </c>
    </row>
    <row r="234" spans="1:14" x14ac:dyDescent="0.35">
      <c r="A234" t="s">
        <v>246</v>
      </c>
      <c r="B234" t="s">
        <v>746</v>
      </c>
      <c r="C234">
        <v>17</v>
      </c>
      <c r="D234" t="s">
        <v>1014</v>
      </c>
      <c r="E234" t="s">
        <v>1018</v>
      </c>
      <c r="F234" t="s">
        <v>1025</v>
      </c>
      <c r="G234" t="s">
        <v>1037</v>
      </c>
      <c r="H234" s="2">
        <v>45776</v>
      </c>
      <c r="I234" s="2">
        <v>45788</v>
      </c>
      <c r="J234">
        <v>63516</v>
      </c>
      <c r="K234">
        <v>2</v>
      </c>
      <c r="L234">
        <v>1</v>
      </c>
      <c r="M234">
        <v>1</v>
      </c>
      <c r="N234">
        <v>0</v>
      </c>
    </row>
    <row r="235" spans="1:14" x14ac:dyDescent="0.35">
      <c r="A235" t="s">
        <v>247</v>
      </c>
      <c r="B235" t="s">
        <v>747</v>
      </c>
      <c r="C235">
        <v>76</v>
      </c>
      <c r="D235" t="s">
        <v>1015</v>
      </c>
      <c r="E235" t="s">
        <v>1022</v>
      </c>
      <c r="F235" t="s">
        <v>1029</v>
      </c>
      <c r="G235" t="s">
        <v>1039</v>
      </c>
      <c r="H235" s="2">
        <v>45746</v>
      </c>
      <c r="I235" s="2">
        <v>45760</v>
      </c>
      <c r="J235">
        <v>174744</v>
      </c>
      <c r="K235">
        <v>7</v>
      </c>
      <c r="L235">
        <v>3</v>
      </c>
      <c r="M235">
        <v>3</v>
      </c>
      <c r="N235">
        <v>0</v>
      </c>
    </row>
    <row r="236" spans="1:14" x14ac:dyDescent="0.35">
      <c r="A236" t="s">
        <v>248</v>
      </c>
      <c r="B236" t="s">
        <v>748</v>
      </c>
      <c r="C236">
        <v>17</v>
      </c>
      <c r="D236" t="s">
        <v>1015</v>
      </c>
      <c r="E236" t="s">
        <v>1017</v>
      </c>
      <c r="F236" t="s">
        <v>1024</v>
      </c>
      <c r="G236" t="s">
        <v>1042</v>
      </c>
      <c r="H236" s="2">
        <v>45758</v>
      </c>
      <c r="I236" s="2">
        <v>45764</v>
      </c>
      <c r="J236">
        <v>77472</v>
      </c>
      <c r="K236">
        <v>2</v>
      </c>
      <c r="L236">
        <v>8</v>
      </c>
      <c r="M236">
        <v>1</v>
      </c>
      <c r="N236">
        <v>0</v>
      </c>
    </row>
    <row r="237" spans="1:14" x14ac:dyDescent="0.35">
      <c r="A237" t="s">
        <v>249</v>
      </c>
      <c r="B237" t="s">
        <v>749</v>
      </c>
      <c r="C237">
        <v>58</v>
      </c>
      <c r="D237" t="s">
        <v>1015</v>
      </c>
      <c r="E237" t="s">
        <v>1016</v>
      </c>
      <c r="F237" t="s">
        <v>1023</v>
      </c>
      <c r="G237" t="s">
        <v>1030</v>
      </c>
      <c r="H237" s="2">
        <v>45762</v>
      </c>
      <c r="I237" s="2">
        <v>45765</v>
      </c>
      <c r="J237">
        <v>299690</v>
      </c>
      <c r="K237">
        <v>7</v>
      </c>
      <c r="L237">
        <v>6</v>
      </c>
      <c r="M237">
        <v>1</v>
      </c>
      <c r="N237">
        <v>0</v>
      </c>
    </row>
    <row r="238" spans="1:14" x14ac:dyDescent="0.35">
      <c r="A238" t="s">
        <v>250</v>
      </c>
      <c r="B238" t="s">
        <v>750</v>
      </c>
      <c r="C238">
        <v>79</v>
      </c>
      <c r="D238" t="s">
        <v>1014</v>
      </c>
      <c r="E238" t="s">
        <v>1020</v>
      </c>
      <c r="F238" t="s">
        <v>1027</v>
      </c>
      <c r="G238" t="s">
        <v>1034</v>
      </c>
      <c r="H238" s="2">
        <v>45759</v>
      </c>
      <c r="I238" s="2">
        <v>45769</v>
      </c>
      <c r="J238">
        <v>166155</v>
      </c>
      <c r="K238">
        <v>4</v>
      </c>
      <c r="L238">
        <v>10</v>
      </c>
      <c r="M238">
        <v>3</v>
      </c>
      <c r="N238">
        <v>0</v>
      </c>
    </row>
    <row r="239" spans="1:14" x14ac:dyDescent="0.35">
      <c r="A239" t="s">
        <v>251</v>
      </c>
      <c r="B239" t="s">
        <v>751</v>
      </c>
      <c r="C239">
        <v>8</v>
      </c>
      <c r="D239" t="s">
        <v>1015</v>
      </c>
      <c r="E239" t="s">
        <v>1020</v>
      </c>
      <c r="F239" t="s">
        <v>1027</v>
      </c>
      <c r="G239" t="s">
        <v>1034</v>
      </c>
      <c r="H239" s="2">
        <v>45802</v>
      </c>
      <c r="I239" s="2">
        <v>45814</v>
      </c>
      <c r="J239">
        <v>66331</v>
      </c>
      <c r="K239">
        <v>4</v>
      </c>
      <c r="L239">
        <v>14</v>
      </c>
      <c r="M239">
        <v>3</v>
      </c>
      <c r="N239">
        <v>0</v>
      </c>
    </row>
    <row r="240" spans="1:14" x14ac:dyDescent="0.35">
      <c r="A240" t="s">
        <v>252</v>
      </c>
      <c r="B240" t="s">
        <v>752</v>
      </c>
      <c r="C240">
        <v>63</v>
      </c>
      <c r="D240" t="s">
        <v>1015</v>
      </c>
      <c r="E240" t="s">
        <v>1020</v>
      </c>
      <c r="F240" t="s">
        <v>1027</v>
      </c>
      <c r="G240" t="s">
        <v>1043</v>
      </c>
      <c r="H240" s="2">
        <v>45759</v>
      </c>
      <c r="I240" s="2">
        <v>45771</v>
      </c>
      <c r="J240">
        <v>106603</v>
      </c>
      <c r="K240">
        <v>8</v>
      </c>
      <c r="L240">
        <v>15</v>
      </c>
      <c r="M240">
        <v>1</v>
      </c>
      <c r="N240">
        <v>0</v>
      </c>
    </row>
    <row r="241" spans="1:14" x14ac:dyDescent="0.35">
      <c r="A241" t="s">
        <v>253</v>
      </c>
      <c r="B241" t="s">
        <v>753</v>
      </c>
      <c r="C241">
        <v>19</v>
      </c>
      <c r="D241" t="s">
        <v>1014</v>
      </c>
      <c r="E241" t="s">
        <v>1018</v>
      </c>
      <c r="F241" t="s">
        <v>1025</v>
      </c>
      <c r="G241" t="s">
        <v>1044</v>
      </c>
      <c r="H241" s="2">
        <v>45781</v>
      </c>
      <c r="I241" s="2">
        <v>45788</v>
      </c>
      <c r="J241">
        <v>368923</v>
      </c>
      <c r="K241">
        <v>9</v>
      </c>
      <c r="L241">
        <v>12</v>
      </c>
      <c r="M241">
        <v>4</v>
      </c>
      <c r="N241">
        <v>0</v>
      </c>
    </row>
    <row r="242" spans="1:14" x14ac:dyDescent="0.35">
      <c r="A242" t="s">
        <v>254</v>
      </c>
      <c r="B242" t="s">
        <v>754</v>
      </c>
      <c r="C242">
        <v>75</v>
      </c>
      <c r="D242" t="s">
        <v>1015</v>
      </c>
      <c r="E242" t="s">
        <v>1021</v>
      </c>
      <c r="F242" t="s">
        <v>1028</v>
      </c>
      <c r="G242" t="s">
        <v>1036</v>
      </c>
      <c r="H242" s="2">
        <v>45778</v>
      </c>
      <c r="I242" s="2">
        <v>45789</v>
      </c>
      <c r="J242">
        <v>381914</v>
      </c>
      <c r="K242">
        <v>7</v>
      </c>
      <c r="L242">
        <v>6</v>
      </c>
      <c r="M242">
        <v>1</v>
      </c>
      <c r="N242">
        <v>189878</v>
      </c>
    </row>
    <row r="243" spans="1:14" x14ac:dyDescent="0.35">
      <c r="A243" t="s">
        <v>255</v>
      </c>
      <c r="B243" t="s">
        <v>755</v>
      </c>
      <c r="C243">
        <v>59</v>
      </c>
      <c r="D243" t="s">
        <v>1015</v>
      </c>
      <c r="E243" t="s">
        <v>1019</v>
      </c>
      <c r="F243" t="s">
        <v>1026</v>
      </c>
      <c r="G243" t="s">
        <v>1033</v>
      </c>
      <c r="H243" s="2">
        <v>45795</v>
      </c>
      <c r="I243" s="2">
        <v>45805</v>
      </c>
      <c r="J243">
        <v>204611</v>
      </c>
      <c r="K243">
        <v>8</v>
      </c>
      <c r="L243">
        <v>8</v>
      </c>
      <c r="M243">
        <v>4</v>
      </c>
      <c r="N243">
        <v>0</v>
      </c>
    </row>
    <row r="244" spans="1:14" x14ac:dyDescent="0.35">
      <c r="A244" t="s">
        <v>256</v>
      </c>
      <c r="B244" t="s">
        <v>756</v>
      </c>
      <c r="C244">
        <v>84</v>
      </c>
      <c r="D244" t="s">
        <v>1014</v>
      </c>
      <c r="E244" t="s">
        <v>1022</v>
      </c>
      <c r="F244" t="s">
        <v>1029</v>
      </c>
      <c r="G244" t="s">
        <v>1041</v>
      </c>
      <c r="H244" s="2">
        <v>45775</v>
      </c>
      <c r="I244" s="2">
        <v>45788</v>
      </c>
      <c r="J244">
        <v>109985</v>
      </c>
      <c r="K244">
        <v>7</v>
      </c>
      <c r="L244">
        <v>6</v>
      </c>
      <c r="M244">
        <v>1</v>
      </c>
      <c r="N244">
        <v>0</v>
      </c>
    </row>
    <row r="245" spans="1:14" x14ac:dyDescent="0.35">
      <c r="A245" t="s">
        <v>257</v>
      </c>
      <c r="B245" t="s">
        <v>757</v>
      </c>
      <c r="C245">
        <v>44</v>
      </c>
      <c r="D245" t="s">
        <v>1015</v>
      </c>
      <c r="E245" t="s">
        <v>1020</v>
      </c>
      <c r="F245" t="s">
        <v>1027</v>
      </c>
      <c r="G245" t="s">
        <v>1034</v>
      </c>
      <c r="H245" s="2">
        <v>45767</v>
      </c>
      <c r="I245" s="2">
        <v>45772</v>
      </c>
      <c r="J245">
        <v>266957</v>
      </c>
      <c r="K245">
        <v>2</v>
      </c>
      <c r="L245">
        <v>7</v>
      </c>
      <c r="M245">
        <v>2</v>
      </c>
      <c r="N245">
        <v>0</v>
      </c>
    </row>
    <row r="246" spans="1:14" x14ac:dyDescent="0.35">
      <c r="A246" t="s">
        <v>258</v>
      </c>
      <c r="B246" t="s">
        <v>758</v>
      </c>
      <c r="C246">
        <v>41</v>
      </c>
      <c r="D246" t="s">
        <v>1015</v>
      </c>
      <c r="E246" t="s">
        <v>1020</v>
      </c>
      <c r="F246" t="s">
        <v>1027</v>
      </c>
      <c r="G246" t="s">
        <v>1034</v>
      </c>
      <c r="H246" s="2">
        <v>45767</v>
      </c>
      <c r="I246" s="2">
        <v>45780</v>
      </c>
      <c r="J246">
        <v>99852</v>
      </c>
      <c r="K246">
        <v>8</v>
      </c>
      <c r="L246">
        <v>6</v>
      </c>
      <c r="M246">
        <v>2</v>
      </c>
      <c r="N246">
        <v>0</v>
      </c>
    </row>
    <row r="247" spans="1:14" x14ac:dyDescent="0.35">
      <c r="A247" t="s">
        <v>259</v>
      </c>
      <c r="B247" t="s">
        <v>759</v>
      </c>
      <c r="C247">
        <v>20</v>
      </c>
      <c r="D247" t="s">
        <v>1015</v>
      </c>
      <c r="E247" t="s">
        <v>1016</v>
      </c>
      <c r="F247" t="s">
        <v>1023</v>
      </c>
      <c r="G247" t="s">
        <v>1030</v>
      </c>
      <c r="H247" s="2">
        <v>45802</v>
      </c>
      <c r="I247" s="2">
        <v>45808</v>
      </c>
      <c r="J247">
        <v>246241</v>
      </c>
      <c r="K247">
        <v>8</v>
      </c>
      <c r="L247">
        <v>11</v>
      </c>
      <c r="M247">
        <v>1</v>
      </c>
      <c r="N247">
        <v>0</v>
      </c>
    </row>
    <row r="248" spans="1:14" x14ac:dyDescent="0.35">
      <c r="A248" t="s">
        <v>260</v>
      </c>
      <c r="B248" t="s">
        <v>760</v>
      </c>
      <c r="C248">
        <v>12</v>
      </c>
      <c r="D248" t="s">
        <v>1015</v>
      </c>
      <c r="E248" t="s">
        <v>1018</v>
      </c>
      <c r="F248" t="s">
        <v>1025</v>
      </c>
      <c r="G248" t="s">
        <v>1044</v>
      </c>
      <c r="H248" s="2">
        <v>45799</v>
      </c>
      <c r="I248" s="2">
        <v>45814</v>
      </c>
      <c r="J248">
        <v>94755</v>
      </c>
      <c r="K248">
        <v>1</v>
      </c>
      <c r="L248">
        <v>5</v>
      </c>
      <c r="M248">
        <v>3</v>
      </c>
      <c r="N248">
        <v>0</v>
      </c>
    </row>
    <row r="249" spans="1:14" x14ac:dyDescent="0.35">
      <c r="A249" t="s">
        <v>261</v>
      </c>
      <c r="B249" t="s">
        <v>761</v>
      </c>
      <c r="C249">
        <v>17</v>
      </c>
      <c r="D249" t="s">
        <v>1014</v>
      </c>
      <c r="E249" t="s">
        <v>1016</v>
      </c>
      <c r="F249" t="s">
        <v>1023</v>
      </c>
      <c r="G249" t="s">
        <v>1040</v>
      </c>
      <c r="H249" s="2">
        <v>45797</v>
      </c>
      <c r="I249" s="2">
        <v>45810</v>
      </c>
      <c r="J249">
        <v>245374</v>
      </c>
      <c r="K249">
        <v>7</v>
      </c>
      <c r="L249">
        <v>1</v>
      </c>
      <c r="M249">
        <v>4</v>
      </c>
      <c r="N249">
        <v>0</v>
      </c>
    </row>
    <row r="250" spans="1:14" x14ac:dyDescent="0.35">
      <c r="A250" t="s">
        <v>262</v>
      </c>
      <c r="B250" t="s">
        <v>762</v>
      </c>
      <c r="C250">
        <v>46</v>
      </c>
      <c r="D250" t="s">
        <v>1015</v>
      </c>
      <c r="E250" t="s">
        <v>1016</v>
      </c>
      <c r="F250" t="s">
        <v>1023</v>
      </c>
      <c r="G250" t="s">
        <v>1030</v>
      </c>
      <c r="H250" s="2">
        <v>45802</v>
      </c>
      <c r="I250" s="2">
        <v>45805</v>
      </c>
      <c r="J250">
        <v>265382</v>
      </c>
      <c r="K250">
        <v>5</v>
      </c>
      <c r="L250">
        <v>10</v>
      </c>
      <c r="M250">
        <v>3</v>
      </c>
      <c r="N250">
        <v>0</v>
      </c>
    </row>
    <row r="251" spans="1:14" x14ac:dyDescent="0.35">
      <c r="A251" t="s">
        <v>263</v>
      </c>
      <c r="B251" t="s">
        <v>763</v>
      </c>
      <c r="C251">
        <v>46</v>
      </c>
      <c r="D251" t="s">
        <v>1014</v>
      </c>
      <c r="E251" t="s">
        <v>1021</v>
      </c>
      <c r="F251" t="s">
        <v>1028</v>
      </c>
      <c r="G251" t="s">
        <v>1035</v>
      </c>
      <c r="H251" s="2">
        <v>45762</v>
      </c>
      <c r="I251" s="2">
        <v>45773</v>
      </c>
      <c r="J251">
        <v>213813</v>
      </c>
      <c r="K251">
        <v>9</v>
      </c>
      <c r="L251">
        <v>6</v>
      </c>
      <c r="M251">
        <v>1</v>
      </c>
      <c r="N251">
        <v>184007</v>
      </c>
    </row>
    <row r="252" spans="1:14" x14ac:dyDescent="0.35">
      <c r="A252" t="s">
        <v>264</v>
      </c>
      <c r="B252" t="s">
        <v>764</v>
      </c>
      <c r="C252">
        <v>29</v>
      </c>
      <c r="D252" t="s">
        <v>1014</v>
      </c>
      <c r="E252" t="s">
        <v>1017</v>
      </c>
      <c r="F252" t="s">
        <v>1024</v>
      </c>
      <c r="G252" t="s">
        <v>1031</v>
      </c>
      <c r="H252" s="2">
        <v>45787</v>
      </c>
      <c r="I252" s="2">
        <v>45799</v>
      </c>
      <c r="J252">
        <v>302806</v>
      </c>
      <c r="K252">
        <v>8</v>
      </c>
      <c r="L252">
        <v>5</v>
      </c>
      <c r="M252">
        <v>1</v>
      </c>
      <c r="N252">
        <v>0</v>
      </c>
    </row>
    <row r="253" spans="1:14" x14ac:dyDescent="0.35">
      <c r="A253" t="s">
        <v>265</v>
      </c>
      <c r="B253" t="s">
        <v>765</v>
      </c>
      <c r="C253">
        <v>15</v>
      </c>
      <c r="D253" t="s">
        <v>1015</v>
      </c>
      <c r="E253" t="s">
        <v>1022</v>
      </c>
      <c r="F253" t="s">
        <v>1029</v>
      </c>
      <c r="G253" t="s">
        <v>1039</v>
      </c>
      <c r="H253" s="2">
        <v>45788</v>
      </c>
      <c r="I253" s="2">
        <v>45798</v>
      </c>
      <c r="J253">
        <v>242707</v>
      </c>
      <c r="K253">
        <v>5</v>
      </c>
      <c r="L253">
        <v>1</v>
      </c>
      <c r="M253">
        <v>2</v>
      </c>
      <c r="N253">
        <v>0</v>
      </c>
    </row>
    <row r="254" spans="1:14" x14ac:dyDescent="0.35">
      <c r="A254" t="s">
        <v>266</v>
      </c>
      <c r="B254" t="s">
        <v>766</v>
      </c>
      <c r="C254">
        <v>72</v>
      </c>
      <c r="D254" t="s">
        <v>1014</v>
      </c>
      <c r="E254" t="s">
        <v>1022</v>
      </c>
      <c r="F254" t="s">
        <v>1029</v>
      </c>
      <c r="G254" t="s">
        <v>1041</v>
      </c>
      <c r="H254" s="2">
        <v>45759</v>
      </c>
      <c r="I254" s="2">
        <v>45767</v>
      </c>
      <c r="J254">
        <v>493104</v>
      </c>
      <c r="K254">
        <v>2</v>
      </c>
      <c r="L254">
        <v>17</v>
      </c>
      <c r="M254">
        <v>2</v>
      </c>
      <c r="N254">
        <v>0</v>
      </c>
    </row>
    <row r="255" spans="1:14" x14ac:dyDescent="0.35">
      <c r="A255" t="s">
        <v>267</v>
      </c>
      <c r="B255" t="s">
        <v>767</v>
      </c>
      <c r="C255">
        <v>90</v>
      </c>
      <c r="D255" t="s">
        <v>1015</v>
      </c>
      <c r="E255" t="s">
        <v>1018</v>
      </c>
      <c r="F255" t="s">
        <v>1025</v>
      </c>
      <c r="G255" t="s">
        <v>1037</v>
      </c>
      <c r="H255" s="2">
        <v>45782</v>
      </c>
      <c r="I255" s="2">
        <v>45786</v>
      </c>
      <c r="J255">
        <v>193272</v>
      </c>
      <c r="K255">
        <v>3</v>
      </c>
      <c r="L255">
        <v>4</v>
      </c>
      <c r="M255">
        <v>4</v>
      </c>
      <c r="N255">
        <v>0</v>
      </c>
    </row>
    <row r="256" spans="1:14" x14ac:dyDescent="0.35">
      <c r="A256" t="s">
        <v>268</v>
      </c>
      <c r="B256" t="s">
        <v>768</v>
      </c>
      <c r="C256">
        <v>19</v>
      </c>
      <c r="D256" t="s">
        <v>1015</v>
      </c>
      <c r="E256" t="s">
        <v>1021</v>
      </c>
      <c r="F256" t="s">
        <v>1028</v>
      </c>
      <c r="G256" t="s">
        <v>1035</v>
      </c>
      <c r="H256" s="2">
        <v>45802</v>
      </c>
      <c r="I256" s="2">
        <v>45804</v>
      </c>
      <c r="J256">
        <v>145108</v>
      </c>
      <c r="K256">
        <v>4</v>
      </c>
      <c r="L256">
        <v>12</v>
      </c>
      <c r="M256">
        <v>3</v>
      </c>
      <c r="N256">
        <v>238719</v>
      </c>
    </row>
    <row r="257" spans="1:14" x14ac:dyDescent="0.35">
      <c r="A257" t="s">
        <v>269</v>
      </c>
      <c r="B257" t="s">
        <v>769</v>
      </c>
      <c r="C257">
        <v>4</v>
      </c>
      <c r="D257" t="s">
        <v>1014</v>
      </c>
      <c r="E257" t="s">
        <v>1017</v>
      </c>
      <c r="F257" t="s">
        <v>1024</v>
      </c>
      <c r="G257" t="s">
        <v>1042</v>
      </c>
      <c r="H257" s="2">
        <v>45764</v>
      </c>
      <c r="I257" s="2">
        <v>45777</v>
      </c>
      <c r="J257">
        <v>381964</v>
      </c>
      <c r="K257">
        <v>5</v>
      </c>
      <c r="L257">
        <v>9</v>
      </c>
      <c r="M257">
        <v>1</v>
      </c>
      <c r="N257">
        <v>0</v>
      </c>
    </row>
    <row r="258" spans="1:14" x14ac:dyDescent="0.35">
      <c r="A258" t="s">
        <v>270</v>
      </c>
      <c r="B258" t="s">
        <v>770</v>
      </c>
      <c r="C258">
        <v>44</v>
      </c>
      <c r="D258" t="s">
        <v>1014</v>
      </c>
      <c r="E258" t="s">
        <v>1020</v>
      </c>
      <c r="F258" t="s">
        <v>1027</v>
      </c>
      <c r="G258" t="s">
        <v>1034</v>
      </c>
      <c r="H258" s="2">
        <v>45757</v>
      </c>
      <c r="I258" s="2">
        <v>45765</v>
      </c>
      <c r="J258">
        <v>287841</v>
      </c>
      <c r="K258">
        <v>1</v>
      </c>
      <c r="L258">
        <v>5</v>
      </c>
      <c r="M258">
        <v>2</v>
      </c>
      <c r="N258">
        <v>0</v>
      </c>
    </row>
    <row r="259" spans="1:14" x14ac:dyDescent="0.35">
      <c r="A259" t="s">
        <v>271</v>
      </c>
      <c r="B259" t="s">
        <v>771</v>
      </c>
      <c r="C259">
        <v>73</v>
      </c>
      <c r="D259" t="s">
        <v>1014</v>
      </c>
      <c r="E259" t="s">
        <v>1021</v>
      </c>
      <c r="F259" t="s">
        <v>1028</v>
      </c>
      <c r="G259" t="s">
        <v>1035</v>
      </c>
      <c r="H259" s="2">
        <v>45755</v>
      </c>
      <c r="I259" s="2">
        <v>45768</v>
      </c>
      <c r="J259">
        <v>220070</v>
      </c>
      <c r="K259">
        <v>3</v>
      </c>
      <c r="L259">
        <v>12</v>
      </c>
      <c r="M259">
        <v>3</v>
      </c>
      <c r="N259">
        <v>209260</v>
      </c>
    </row>
    <row r="260" spans="1:14" x14ac:dyDescent="0.35">
      <c r="A260" t="s">
        <v>272</v>
      </c>
      <c r="B260" t="s">
        <v>772</v>
      </c>
      <c r="C260">
        <v>80</v>
      </c>
      <c r="D260" t="s">
        <v>1014</v>
      </c>
      <c r="E260" t="s">
        <v>1017</v>
      </c>
      <c r="F260" t="s">
        <v>1024</v>
      </c>
      <c r="G260" t="s">
        <v>1042</v>
      </c>
      <c r="H260" s="2">
        <v>45792</v>
      </c>
      <c r="I260" s="2">
        <v>45796</v>
      </c>
      <c r="J260">
        <v>445541</v>
      </c>
      <c r="K260">
        <v>6</v>
      </c>
      <c r="L260">
        <v>7</v>
      </c>
      <c r="M260">
        <v>3</v>
      </c>
      <c r="N260">
        <v>0</v>
      </c>
    </row>
    <row r="261" spans="1:14" x14ac:dyDescent="0.35">
      <c r="A261" t="s">
        <v>273</v>
      </c>
      <c r="B261" t="s">
        <v>773</v>
      </c>
      <c r="C261">
        <v>55</v>
      </c>
      <c r="D261" t="s">
        <v>1015</v>
      </c>
      <c r="E261" t="s">
        <v>1021</v>
      </c>
      <c r="F261" t="s">
        <v>1028</v>
      </c>
      <c r="G261" t="s">
        <v>1036</v>
      </c>
      <c r="H261" s="2">
        <v>45783</v>
      </c>
      <c r="I261" s="2">
        <v>45792</v>
      </c>
      <c r="J261">
        <v>397046</v>
      </c>
      <c r="K261">
        <v>3</v>
      </c>
      <c r="L261">
        <v>8</v>
      </c>
      <c r="M261">
        <v>2</v>
      </c>
      <c r="N261">
        <v>176295</v>
      </c>
    </row>
    <row r="262" spans="1:14" x14ac:dyDescent="0.35">
      <c r="A262" t="s">
        <v>274</v>
      </c>
      <c r="B262" t="s">
        <v>774</v>
      </c>
      <c r="C262">
        <v>66</v>
      </c>
      <c r="D262" t="s">
        <v>1014</v>
      </c>
      <c r="E262" t="s">
        <v>1020</v>
      </c>
      <c r="F262" t="s">
        <v>1027</v>
      </c>
      <c r="G262" t="s">
        <v>1034</v>
      </c>
      <c r="H262" s="2">
        <v>45798</v>
      </c>
      <c r="I262" s="2">
        <v>45804</v>
      </c>
      <c r="J262">
        <v>163020</v>
      </c>
      <c r="K262">
        <v>8</v>
      </c>
      <c r="L262">
        <v>7</v>
      </c>
      <c r="M262">
        <v>1</v>
      </c>
      <c r="N262">
        <v>0</v>
      </c>
    </row>
    <row r="263" spans="1:14" x14ac:dyDescent="0.35">
      <c r="A263" t="s">
        <v>275</v>
      </c>
      <c r="B263" t="s">
        <v>775</v>
      </c>
      <c r="C263">
        <v>87</v>
      </c>
      <c r="D263" t="s">
        <v>1015</v>
      </c>
      <c r="E263" t="s">
        <v>1020</v>
      </c>
      <c r="F263" t="s">
        <v>1027</v>
      </c>
      <c r="G263" t="s">
        <v>1034</v>
      </c>
      <c r="H263" s="2">
        <v>45774</v>
      </c>
      <c r="I263" s="2">
        <v>45777</v>
      </c>
      <c r="J263">
        <v>198502</v>
      </c>
      <c r="K263">
        <v>7</v>
      </c>
      <c r="L263">
        <v>11</v>
      </c>
      <c r="M263">
        <v>4</v>
      </c>
      <c r="N263">
        <v>0</v>
      </c>
    </row>
    <row r="264" spans="1:14" x14ac:dyDescent="0.35">
      <c r="A264" t="s">
        <v>276</v>
      </c>
      <c r="B264" t="s">
        <v>776</v>
      </c>
      <c r="C264">
        <v>77</v>
      </c>
      <c r="D264" t="s">
        <v>1014</v>
      </c>
      <c r="E264" t="s">
        <v>1018</v>
      </c>
      <c r="F264" t="s">
        <v>1025</v>
      </c>
      <c r="G264" t="s">
        <v>1044</v>
      </c>
      <c r="H264" s="2">
        <v>45780</v>
      </c>
      <c r="I264" s="2">
        <v>45785</v>
      </c>
      <c r="J264">
        <v>257231</v>
      </c>
      <c r="K264">
        <v>2</v>
      </c>
      <c r="L264">
        <v>5</v>
      </c>
      <c r="M264">
        <v>1</v>
      </c>
      <c r="N264">
        <v>0</v>
      </c>
    </row>
    <row r="265" spans="1:14" x14ac:dyDescent="0.35">
      <c r="A265" t="s">
        <v>277</v>
      </c>
      <c r="B265" t="s">
        <v>777</v>
      </c>
      <c r="C265">
        <v>18</v>
      </c>
      <c r="D265" t="s">
        <v>1015</v>
      </c>
      <c r="E265" t="s">
        <v>1017</v>
      </c>
      <c r="F265" t="s">
        <v>1024</v>
      </c>
      <c r="G265" t="s">
        <v>1031</v>
      </c>
      <c r="H265" s="2">
        <v>45745</v>
      </c>
      <c r="I265" s="2">
        <v>45751</v>
      </c>
      <c r="J265">
        <v>160747</v>
      </c>
      <c r="K265">
        <v>6</v>
      </c>
      <c r="L265">
        <v>17</v>
      </c>
      <c r="M265">
        <v>1</v>
      </c>
      <c r="N265">
        <v>0</v>
      </c>
    </row>
    <row r="266" spans="1:14" x14ac:dyDescent="0.35">
      <c r="A266" t="s">
        <v>278</v>
      </c>
      <c r="B266" t="s">
        <v>778</v>
      </c>
      <c r="C266">
        <v>64</v>
      </c>
      <c r="D266" t="s">
        <v>1015</v>
      </c>
      <c r="E266" t="s">
        <v>1021</v>
      </c>
      <c r="F266" t="s">
        <v>1028</v>
      </c>
      <c r="G266" t="s">
        <v>1035</v>
      </c>
      <c r="H266" s="2">
        <v>45782</v>
      </c>
      <c r="I266" s="2">
        <v>45785</v>
      </c>
      <c r="J266">
        <v>54052</v>
      </c>
      <c r="K266">
        <v>4</v>
      </c>
      <c r="L266">
        <v>19</v>
      </c>
      <c r="M266">
        <v>2</v>
      </c>
      <c r="N266">
        <v>291189</v>
      </c>
    </row>
    <row r="267" spans="1:14" x14ac:dyDescent="0.35">
      <c r="A267" t="s">
        <v>279</v>
      </c>
      <c r="B267" t="s">
        <v>779</v>
      </c>
      <c r="C267">
        <v>30</v>
      </c>
      <c r="D267" t="s">
        <v>1015</v>
      </c>
      <c r="E267" t="s">
        <v>1017</v>
      </c>
      <c r="F267" t="s">
        <v>1024</v>
      </c>
      <c r="G267" t="s">
        <v>1042</v>
      </c>
      <c r="H267" s="2">
        <v>45767</v>
      </c>
      <c r="I267" s="2">
        <v>45775</v>
      </c>
      <c r="J267">
        <v>329226</v>
      </c>
      <c r="K267">
        <v>4</v>
      </c>
      <c r="L267">
        <v>2</v>
      </c>
      <c r="M267">
        <v>4</v>
      </c>
      <c r="N267">
        <v>0</v>
      </c>
    </row>
    <row r="268" spans="1:14" x14ac:dyDescent="0.35">
      <c r="A268" t="s">
        <v>280</v>
      </c>
      <c r="B268" t="s">
        <v>780</v>
      </c>
      <c r="C268">
        <v>6</v>
      </c>
      <c r="D268" t="s">
        <v>1015</v>
      </c>
      <c r="E268" t="s">
        <v>1020</v>
      </c>
      <c r="F268" t="s">
        <v>1027</v>
      </c>
      <c r="G268" t="s">
        <v>1043</v>
      </c>
      <c r="H268" s="2">
        <v>45773</v>
      </c>
      <c r="I268" s="2">
        <v>45788</v>
      </c>
      <c r="J268">
        <v>439043</v>
      </c>
      <c r="K268">
        <v>7</v>
      </c>
      <c r="L268">
        <v>12</v>
      </c>
      <c r="M268">
        <v>2</v>
      </c>
      <c r="N268">
        <v>0</v>
      </c>
    </row>
    <row r="269" spans="1:14" x14ac:dyDescent="0.35">
      <c r="A269" t="s">
        <v>281</v>
      </c>
      <c r="B269" t="s">
        <v>781</v>
      </c>
      <c r="C269">
        <v>74</v>
      </c>
      <c r="D269" t="s">
        <v>1015</v>
      </c>
      <c r="E269" t="s">
        <v>1020</v>
      </c>
      <c r="F269" t="s">
        <v>1027</v>
      </c>
      <c r="G269" t="s">
        <v>1034</v>
      </c>
      <c r="H269" s="2">
        <v>45751</v>
      </c>
      <c r="I269" s="2">
        <v>45754</v>
      </c>
      <c r="J269">
        <v>214133</v>
      </c>
      <c r="K269">
        <v>4</v>
      </c>
      <c r="L269">
        <v>17</v>
      </c>
      <c r="M269">
        <v>2</v>
      </c>
      <c r="N269">
        <v>0</v>
      </c>
    </row>
    <row r="270" spans="1:14" x14ac:dyDescent="0.35">
      <c r="A270" t="s">
        <v>282</v>
      </c>
      <c r="B270" t="s">
        <v>782</v>
      </c>
      <c r="C270">
        <v>38</v>
      </c>
      <c r="D270" t="s">
        <v>1014</v>
      </c>
      <c r="E270" t="s">
        <v>1016</v>
      </c>
      <c r="F270" t="s">
        <v>1023</v>
      </c>
      <c r="G270" t="s">
        <v>1040</v>
      </c>
      <c r="H270" s="2">
        <v>45790</v>
      </c>
      <c r="I270" s="2">
        <v>45802</v>
      </c>
      <c r="J270">
        <v>268991</v>
      </c>
      <c r="K270">
        <v>9</v>
      </c>
      <c r="L270">
        <v>5</v>
      </c>
      <c r="M270">
        <v>2</v>
      </c>
      <c r="N270">
        <v>0</v>
      </c>
    </row>
    <row r="271" spans="1:14" x14ac:dyDescent="0.35">
      <c r="A271" t="s">
        <v>283</v>
      </c>
      <c r="B271" t="s">
        <v>783</v>
      </c>
      <c r="C271">
        <v>80</v>
      </c>
      <c r="D271" t="s">
        <v>1015</v>
      </c>
      <c r="E271" t="s">
        <v>1018</v>
      </c>
      <c r="F271" t="s">
        <v>1025</v>
      </c>
      <c r="G271" t="s">
        <v>1032</v>
      </c>
      <c r="H271" s="2">
        <v>45754</v>
      </c>
      <c r="I271" s="2">
        <v>45761</v>
      </c>
      <c r="J271">
        <v>140111</v>
      </c>
      <c r="K271">
        <v>2</v>
      </c>
      <c r="L271">
        <v>2</v>
      </c>
      <c r="M271">
        <v>2</v>
      </c>
      <c r="N271">
        <v>0</v>
      </c>
    </row>
    <row r="272" spans="1:14" x14ac:dyDescent="0.35">
      <c r="A272" t="s">
        <v>284</v>
      </c>
      <c r="B272" t="s">
        <v>784</v>
      </c>
      <c r="C272">
        <v>14</v>
      </c>
      <c r="D272" t="s">
        <v>1014</v>
      </c>
      <c r="E272" t="s">
        <v>1021</v>
      </c>
      <c r="F272" t="s">
        <v>1028</v>
      </c>
      <c r="G272" t="s">
        <v>1036</v>
      </c>
      <c r="H272" s="2">
        <v>45796</v>
      </c>
      <c r="I272" s="2">
        <v>45799</v>
      </c>
      <c r="J272">
        <v>278962</v>
      </c>
      <c r="K272">
        <v>4</v>
      </c>
      <c r="L272">
        <v>5</v>
      </c>
      <c r="M272">
        <v>2</v>
      </c>
      <c r="N272">
        <v>106892</v>
      </c>
    </row>
    <row r="273" spans="1:14" x14ac:dyDescent="0.35">
      <c r="A273" t="s">
        <v>285</v>
      </c>
      <c r="B273" t="s">
        <v>785</v>
      </c>
      <c r="C273">
        <v>11</v>
      </c>
      <c r="D273" t="s">
        <v>1015</v>
      </c>
      <c r="E273" t="s">
        <v>1019</v>
      </c>
      <c r="F273" t="s">
        <v>1026</v>
      </c>
      <c r="G273" t="s">
        <v>1038</v>
      </c>
      <c r="H273" s="2">
        <v>45764</v>
      </c>
      <c r="I273" s="2">
        <v>45772</v>
      </c>
      <c r="J273">
        <v>324707</v>
      </c>
      <c r="K273">
        <v>2</v>
      </c>
      <c r="L273">
        <v>6</v>
      </c>
      <c r="M273">
        <v>3</v>
      </c>
      <c r="N273">
        <v>0</v>
      </c>
    </row>
    <row r="274" spans="1:14" x14ac:dyDescent="0.35">
      <c r="A274" t="s">
        <v>286</v>
      </c>
      <c r="B274" t="s">
        <v>786</v>
      </c>
      <c r="C274">
        <v>43</v>
      </c>
      <c r="D274" t="s">
        <v>1014</v>
      </c>
      <c r="E274" t="s">
        <v>1016</v>
      </c>
      <c r="F274" t="s">
        <v>1023</v>
      </c>
      <c r="G274" t="s">
        <v>1030</v>
      </c>
      <c r="H274" s="2">
        <v>45752</v>
      </c>
      <c r="I274" s="2">
        <v>45759</v>
      </c>
      <c r="J274">
        <v>166167</v>
      </c>
      <c r="K274">
        <v>2</v>
      </c>
      <c r="L274">
        <v>9</v>
      </c>
      <c r="M274">
        <v>4</v>
      </c>
      <c r="N274">
        <v>0</v>
      </c>
    </row>
    <row r="275" spans="1:14" x14ac:dyDescent="0.35">
      <c r="A275" t="s">
        <v>287</v>
      </c>
      <c r="B275" t="s">
        <v>787</v>
      </c>
      <c r="C275">
        <v>68</v>
      </c>
      <c r="D275" t="s">
        <v>1014</v>
      </c>
      <c r="E275" t="s">
        <v>1019</v>
      </c>
      <c r="F275" t="s">
        <v>1026</v>
      </c>
      <c r="G275" t="s">
        <v>1038</v>
      </c>
      <c r="H275" s="2">
        <v>45773</v>
      </c>
      <c r="I275" s="2">
        <v>45785</v>
      </c>
      <c r="J275">
        <v>109782</v>
      </c>
      <c r="K275">
        <v>6</v>
      </c>
      <c r="L275">
        <v>2</v>
      </c>
      <c r="M275">
        <v>4</v>
      </c>
      <c r="N275">
        <v>0</v>
      </c>
    </row>
    <row r="276" spans="1:14" x14ac:dyDescent="0.35">
      <c r="A276" t="s">
        <v>288</v>
      </c>
      <c r="B276" t="s">
        <v>788</v>
      </c>
      <c r="C276">
        <v>83</v>
      </c>
      <c r="D276" t="s">
        <v>1014</v>
      </c>
      <c r="E276" t="s">
        <v>1021</v>
      </c>
      <c r="F276" t="s">
        <v>1028</v>
      </c>
      <c r="G276" t="s">
        <v>1035</v>
      </c>
      <c r="H276" s="2">
        <v>45791</v>
      </c>
      <c r="I276" s="2">
        <v>45804</v>
      </c>
      <c r="J276">
        <v>479364</v>
      </c>
      <c r="K276">
        <v>8</v>
      </c>
      <c r="L276">
        <v>17</v>
      </c>
      <c r="M276">
        <v>1</v>
      </c>
      <c r="N276">
        <v>263788</v>
      </c>
    </row>
    <row r="277" spans="1:14" x14ac:dyDescent="0.35">
      <c r="A277" t="s">
        <v>289</v>
      </c>
      <c r="B277" t="s">
        <v>789</v>
      </c>
      <c r="C277">
        <v>26</v>
      </c>
      <c r="D277" t="s">
        <v>1014</v>
      </c>
      <c r="E277" t="s">
        <v>1018</v>
      </c>
      <c r="F277" t="s">
        <v>1025</v>
      </c>
      <c r="G277" t="s">
        <v>1032</v>
      </c>
      <c r="H277" s="2">
        <v>45754</v>
      </c>
      <c r="I277" s="2">
        <v>45758</v>
      </c>
      <c r="J277">
        <v>184201</v>
      </c>
      <c r="K277">
        <v>2</v>
      </c>
      <c r="L277">
        <v>9</v>
      </c>
      <c r="M277">
        <v>1</v>
      </c>
      <c r="N277">
        <v>0</v>
      </c>
    </row>
    <row r="278" spans="1:14" x14ac:dyDescent="0.35">
      <c r="A278" t="s">
        <v>290</v>
      </c>
      <c r="B278" t="s">
        <v>790</v>
      </c>
      <c r="C278">
        <v>84</v>
      </c>
      <c r="D278" t="s">
        <v>1014</v>
      </c>
      <c r="E278" t="s">
        <v>1017</v>
      </c>
      <c r="F278" t="s">
        <v>1024</v>
      </c>
      <c r="G278" t="s">
        <v>1042</v>
      </c>
      <c r="H278" s="2">
        <v>45747</v>
      </c>
      <c r="I278" s="2">
        <v>45761</v>
      </c>
      <c r="J278">
        <v>448014</v>
      </c>
      <c r="K278">
        <v>7</v>
      </c>
      <c r="L278">
        <v>5</v>
      </c>
      <c r="M278">
        <v>4</v>
      </c>
      <c r="N278">
        <v>0</v>
      </c>
    </row>
    <row r="279" spans="1:14" x14ac:dyDescent="0.35">
      <c r="A279" t="s">
        <v>291</v>
      </c>
      <c r="B279" t="s">
        <v>791</v>
      </c>
      <c r="C279">
        <v>60</v>
      </c>
      <c r="D279" t="s">
        <v>1015</v>
      </c>
      <c r="E279" t="s">
        <v>1022</v>
      </c>
      <c r="F279" t="s">
        <v>1029</v>
      </c>
      <c r="G279" t="s">
        <v>1041</v>
      </c>
      <c r="H279" s="2">
        <v>45769</v>
      </c>
      <c r="I279" s="2">
        <v>45781</v>
      </c>
      <c r="J279">
        <v>309059</v>
      </c>
      <c r="K279">
        <v>4</v>
      </c>
      <c r="L279">
        <v>17</v>
      </c>
      <c r="M279">
        <v>4</v>
      </c>
      <c r="N279">
        <v>0</v>
      </c>
    </row>
    <row r="280" spans="1:14" x14ac:dyDescent="0.35">
      <c r="A280" t="s">
        <v>292</v>
      </c>
      <c r="B280" t="s">
        <v>792</v>
      </c>
      <c r="C280">
        <v>20</v>
      </c>
      <c r="D280" t="s">
        <v>1015</v>
      </c>
      <c r="E280" t="s">
        <v>1022</v>
      </c>
      <c r="F280" t="s">
        <v>1029</v>
      </c>
      <c r="G280" t="s">
        <v>1039</v>
      </c>
      <c r="H280" s="2">
        <v>45757</v>
      </c>
      <c r="I280" s="2">
        <v>45769</v>
      </c>
      <c r="J280">
        <v>215747</v>
      </c>
      <c r="K280">
        <v>6</v>
      </c>
      <c r="L280">
        <v>8</v>
      </c>
      <c r="M280">
        <v>3</v>
      </c>
      <c r="N280">
        <v>0</v>
      </c>
    </row>
    <row r="281" spans="1:14" x14ac:dyDescent="0.35">
      <c r="A281" t="s">
        <v>293</v>
      </c>
      <c r="B281" t="s">
        <v>793</v>
      </c>
      <c r="C281">
        <v>39</v>
      </c>
      <c r="D281" t="s">
        <v>1015</v>
      </c>
      <c r="E281" t="s">
        <v>1020</v>
      </c>
      <c r="F281" t="s">
        <v>1027</v>
      </c>
      <c r="G281" t="s">
        <v>1043</v>
      </c>
      <c r="H281" s="2">
        <v>45753</v>
      </c>
      <c r="I281" s="2">
        <v>45762</v>
      </c>
      <c r="J281">
        <v>381027</v>
      </c>
      <c r="K281">
        <v>5</v>
      </c>
      <c r="L281">
        <v>9</v>
      </c>
      <c r="M281">
        <v>3</v>
      </c>
      <c r="N281">
        <v>0</v>
      </c>
    </row>
    <row r="282" spans="1:14" x14ac:dyDescent="0.35">
      <c r="A282" t="s">
        <v>294</v>
      </c>
      <c r="B282" t="s">
        <v>794</v>
      </c>
      <c r="C282">
        <v>40</v>
      </c>
      <c r="D282" t="s">
        <v>1015</v>
      </c>
      <c r="E282" t="s">
        <v>1021</v>
      </c>
      <c r="F282" t="s">
        <v>1028</v>
      </c>
      <c r="G282" t="s">
        <v>1036</v>
      </c>
      <c r="H282" s="2">
        <v>45794</v>
      </c>
      <c r="I282" s="2">
        <v>45804</v>
      </c>
      <c r="J282">
        <v>88897</v>
      </c>
      <c r="K282">
        <v>2</v>
      </c>
      <c r="L282">
        <v>9</v>
      </c>
      <c r="M282">
        <v>4</v>
      </c>
      <c r="N282">
        <v>163970</v>
      </c>
    </row>
    <row r="283" spans="1:14" x14ac:dyDescent="0.35">
      <c r="A283" t="s">
        <v>295</v>
      </c>
      <c r="B283" t="s">
        <v>795</v>
      </c>
      <c r="C283">
        <v>37</v>
      </c>
      <c r="D283" t="s">
        <v>1014</v>
      </c>
      <c r="E283" t="s">
        <v>1018</v>
      </c>
      <c r="F283" t="s">
        <v>1025</v>
      </c>
      <c r="G283" t="s">
        <v>1032</v>
      </c>
      <c r="H283" s="2">
        <v>45759</v>
      </c>
      <c r="I283" s="2">
        <v>45761</v>
      </c>
      <c r="J283">
        <v>243324</v>
      </c>
      <c r="K283">
        <v>9</v>
      </c>
      <c r="L283">
        <v>13</v>
      </c>
      <c r="M283">
        <v>4</v>
      </c>
      <c r="N283">
        <v>0</v>
      </c>
    </row>
    <row r="284" spans="1:14" x14ac:dyDescent="0.35">
      <c r="A284" t="s">
        <v>296</v>
      </c>
      <c r="B284" t="s">
        <v>796</v>
      </c>
      <c r="C284">
        <v>79</v>
      </c>
      <c r="D284" t="s">
        <v>1015</v>
      </c>
      <c r="E284" t="s">
        <v>1022</v>
      </c>
      <c r="F284" t="s">
        <v>1029</v>
      </c>
      <c r="G284" t="s">
        <v>1041</v>
      </c>
      <c r="H284" s="2">
        <v>45791</v>
      </c>
      <c r="I284" s="2">
        <v>45806</v>
      </c>
      <c r="J284">
        <v>97341</v>
      </c>
      <c r="K284">
        <v>4</v>
      </c>
      <c r="L284">
        <v>4</v>
      </c>
      <c r="M284">
        <v>4</v>
      </c>
      <c r="N284">
        <v>0</v>
      </c>
    </row>
    <row r="285" spans="1:14" x14ac:dyDescent="0.35">
      <c r="A285" t="s">
        <v>297</v>
      </c>
      <c r="B285" t="s">
        <v>797</v>
      </c>
      <c r="C285">
        <v>6</v>
      </c>
      <c r="D285" t="s">
        <v>1015</v>
      </c>
      <c r="E285" t="s">
        <v>1019</v>
      </c>
      <c r="F285" t="s">
        <v>1026</v>
      </c>
      <c r="G285" t="s">
        <v>1033</v>
      </c>
      <c r="H285" s="2">
        <v>45785</v>
      </c>
      <c r="I285" s="2">
        <v>45795</v>
      </c>
      <c r="J285">
        <v>465140</v>
      </c>
      <c r="K285">
        <v>3</v>
      </c>
      <c r="L285">
        <v>9</v>
      </c>
      <c r="M285">
        <v>1</v>
      </c>
      <c r="N285">
        <v>0</v>
      </c>
    </row>
    <row r="286" spans="1:14" x14ac:dyDescent="0.35">
      <c r="A286" t="s">
        <v>298</v>
      </c>
      <c r="B286" t="s">
        <v>798</v>
      </c>
      <c r="C286">
        <v>65</v>
      </c>
      <c r="D286" t="s">
        <v>1014</v>
      </c>
      <c r="E286" t="s">
        <v>1021</v>
      </c>
      <c r="F286" t="s">
        <v>1028</v>
      </c>
      <c r="G286" t="s">
        <v>1035</v>
      </c>
      <c r="H286" s="2">
        <v>45762</v>
      </c>
      <c r="I286" s="2">
        <v>45773</v>
      </c>
      <c r="J286">
        <v>299366</v>
      </c>
      <c r="K286">
        <v>7</v>
      </c>
      <c r="L286">
        <v>17</v>
      </c>
      <c r="M286">
        <v>4</v>
      </c>
      <c r="N286">
        <v>188482</v>
      </c>
    </row>
    <row r="287" spans="1:14" x14ac:dyDescent="0.35">
      <c r="A287" t="s">
        <v>299</v>
      </c>
      <c r="B287" t="s">
        <v>799</v>
      </c>
      <c r="C287">
        <v>44</v>
      </c>
      <c r="D287" t="s">
        <v>1014</v>
      </c>
      <c r="E287" t="s">
        <v>1020</v>
      </c>
      <c r="F287" t="s">
        <v>1027</v>
      </c>
      <c r="G287" t="s">
        <v>1043</v>
      </c>
      <c r="H287" s="2">
        <v>45793</v>
      </c>
      <c r="I287" s="2">
        <v>45796</v>
      </c>
      <c r="J287">
        <v>475180</v>
      </c>
      <c r="K287">
        <v>8</v>
      </c>
      <c r="L287">
        <v>13</v>
      </c>
      <c r="M287">
        <v>2</v>
      </c>
      <c r="N287">
        <v>0</v>
      </c>
    </row>
    <row r="288" spans="1:14" x14ac:dyDescent="0.35">
      <c r="A288" t="s">
        <v>300</v>
      </c>
      <c r="B288" t="s">
        <v>800</v>
      </c>
      <c r="C288">
        <v>57</v>
      </c>
      <c r="D288" t="s">
        <v>1015</v>
      </c>
      <c r="E288" t="s">
        <v>1018</v>
      </c>
      <c r="F288" t="s">
        <v>1025</v>
      </c>
      <c r="G288" t="s">
        <v>1032</v>
      </c>
      <c r="H288" s="2">
        <v>45780</v>
      </c>
      <c r="I288" s="2">
        <v>45785</v>
      </c>
      <c r="J288">
        <v>420997</v>
      </c>
      <c r="K288">
        <v>2</v>
      </c>
      <c r="L288">
        <v>3</v>
      </c>
      <c r="M288">
        <v>1</v>
      </c>
      <c r="N288">
        <v>0</v>
      </c>
    </row>
    <row r="289" spans="1:14" x14ac:dyDescent="0.35">
      <c r="A289" t="s">
        <v>301</v>
      </c>
      <c r="B289" t="s">
        <v>801</v>
      </c>
      <c r="C289">
        <v>47</v>
      </c>
      <c r="D289" t="s">
        <v>1015</v>
      </c>
      <c r="E289" t="s">
        <v>1019</v>
      </c>
      <c r="F289" t="s">
        <v>1026</v>
      </c>
      <c r="G289" t="s">
        <v>1038</v>
      </c>
      <c r="H289" s="2">
        <v>45780</v>
      </c>
      <c r="I289" s="2">
        <v>45791</v>
      </c>
      <c r="J289">
        <v>133228</v>
      </c>
      <c r="K289">
        <v>5</v>
      </c>
      <c r="L289">
        <v>12</v>
      </c>
      <c r="M289">
        <v>4</v>
      </c>
      <c r="N289">
        <v>0</v>
      </c>
    </row>
    <row r="290" spans="1:14" x14ac:dyDescent="0.35">
      <c r="A290" t="s">
        <v>302</v>
      </c>
      <c r="B290" t="s">
        <v>802</v>
      </c>
      <c r="C290">
        <v>44</v>
      </c>
      <c r="D290" t="s">
        <v>1014</v>
      </c>
      <c r="E290" t="s">
        <v>1020</v>
      </c>
      <c r="F290" t="s">
        <v>1027</v>
      </c>
      <c r="G290" t="s">
        <v>1034</v>
      </c>
      <c r="H290" s="2">
        <v>45797</v>
      </c>
      <c r="I290" s="2">
        <v>45805</v>
      </c>
      <c r="J290">
        <v>456042</v>
      </c>
      <c r="K290">
        <v>4</v>
      </c>
      <c r="L290">
        <v>12</v>
      </c>
      <c r="M290">
        <v>3</v>
      </c>
      <c r="N290">
        <v>0</v>
      </c>
    </row>
    <row r="291" spans="1:14" x14ac:dyDescent="0.35">
      <c r="A291" t="s">
        <v>303</v>
      </c>
      <c r="B291" t="s">
        <v>803</v>
      </c>
      <c r="C291">
        <v>72</v>
      </c>
      <c r="D291" t="s">
        <v>1015</v>
      </c>
      <c r="E291" t="s">
        <v>1018</v>
      </c>
      <c r="F291" t="s">
        <v>1025</v>
      </c>
      <c r="G291" t="s">
        <v>1037</v>
      </c>
      <c r="H291" s="2">
        <v>45786</v>
      </c>
      <c r="I291" s="2">
        <v>45793</v>
      </c>
      <c r="J291">
        <v>99548</v>
      </c>
      <c r="K291">
        <v>3</v>
      </c>
      <c r="L291">
        <v>4</v>
      </c>
      <c r="M291">
        <v>4</v>
      </c>
      <c r="N291">
        <v>0</v>
      </c>
    </row>
    <row r="292" spans="1:14" x14ac:dyDescent="0.35">
      <c r="A292" t="s">
        <v>304</v>
      </c>
      <c r="B292" t="s">
        <v>804</v>
      </c>
      <c r="C292">
        <v>85</v>
      </c>
      <c r="D292" t="s">
        <v>1014</v>
      </c>
      <c r="E292" t="s">
        <v>1021</v>
      </c>
      <c r="F292" t="s">
        <v>1028</v>
      </c>
      <c r="G292" t="s">
        <v>1036</v>
      </c>
      <c r="H292" s="2">
        <v>45765</v>
      </c>
      <c r="I292" s="2">
        <v>45778</v>
      </c>
      <c r="J292">
        <v>496465</v>
      </c>
      <c r="K292">
        <v>4</v>
      </c>
      <c r="L292">
        <v>2</v>
      </c>
      <c r="M292">
        <v>2</v>
      </c>
      <c r="N292">
        <v>172013</v>
      </c>
    </row>
    <row r="293" spans="1:14" x14ac:dyDescent="0.35">
      <c r="A293" t="s">
        <v>305</v>
      </c>
      <c r="B293" t="s">
        <v>805</v>
      </c>
      <c r="C293">
        <v>19</v>
      </c>
      <c r="D293" t="s">
        <v>1015</v>
      </c>
      <c r="E293" t="s">
        <v>1018</v>
      </c>
      <c r="F293" t="s">
        <v>1025</v>
      </c>
      <c r="G293" t="s">
        <v>1037</v>
      </c>
      <c r="H293" s="2">
        <v>45792</v>
      </c>
      <c r="I293" s="2">
        <v>45803</v>
      </c>
      <c r="J293">
        <v>397923</v>
      </c>
      <c r="K293">
        <v>2</v>
      </c>
      <c r="L293">
        <v>16</v>
      </c>
      <c r="M293">
        <v>2</v>
      </c>
      <c r="N293">
        <v>0</v>
      </c>
    </row>
    <row r="294" spans="1:14" x14ac:dyDescent="0.35">
      <c r="A294" t="s">
        <v>306</v>
      </c>
      <c r="B294" t="s">
        <v>806</v>
      </c>
      <c r="C294">
        <v>51</v>
      </c>
      <c r="D294" t="s">
        <v>1014</v>
      </c>
      <c r="E294" t="s">
        <v>1016</v>
      </c>
      <c r="F294" t="s">
        <v>1023</v>
      </c>
      <c r="G294" t="s">
        <v>1030</v>
      </c>
      <c r="H294" s="2">
        <v>45772</v>
      </c>
      <c r="I294" s="2">
        <v>45785</v>
      </c>
      <c r="J294">
        <v>397149</v>
      </c>
      <c r="K294">
        <v>4</v>
      </c>
      <c r="L294">
        <v>13</v>
      </c>
      <c r="M294">
        <v>3</v>
      </c>
      <c r="N294">
        <v>0</v>
      </c>
    </row>
    <row r="295" spans="1:14" x14ac:dyDescent="0.35">
      <c r="A295" t="s">
        <v>307</v>
      </c>
      <c r="B295" t="s">
        <v>807</v>
      </c>
      <c r="C295">
        <v>83</v>
      </c>
      <c r="D295" t="s">
        <v>1015</v>
      </c>
      <c r="E295" t="s">
        <v>1021</v>
      </c>
      <c r="F295" t="s">
        <v>1028</v>
      </c>
      <c r="G295" t="s">
        <v>1035</v>
      </c>
      <c r="H295" s="2">
        <v>45785</v>
      </c>
      <c r="I295" s="2">
        <v>45795</v>
      </c>
      <c r="J295">
        <v>247488</v>
      </c>
      <c r="K295">
        <v>2</v>
      </c>
      <c r="L295">
        <v>10</v>
      </c>
      <c r="M295">
        <v>1</v>
      </c>
      <c r="N295">
        <v>299843</v>
      </c>
    </row>
    <row r="296" spans="1:14" x14ac:dyDescent="0.35">
      <c r="A296" t="s">
        <v>308</v>
      </c>
      <c r="B296" t="s">
        <v>808</v>
      </c>
      <c r="C296">
        <v>88</v>
      </c>
      <c r="D296" t="s">
        <v>1014</v>
      </c>
      <c r="E296" t="s">
        <v>1016</v>
      </c>
      <c r="F296" t="s">
        <v>1023</v>
      </c>
      <c r="G296" t="s">
        <v>1040</v>
      </c>
      <c r="H296" s="2">
        <v>45768</v>
      </c>
      <c r="I296" s="2">
        <v>45781</v>
      </c>
      <c r="J296">
        <v>484613</v>
      </c>
      <c r="K296">
        <v>4</v>
      </c>
      <c r="L296">
        <v>3</v>
      </c>
      <c r="M296">
        <v>1</v>
      </c>
      <c r="N296">
        <v>0</v>
      </c>
    </row>
    <row r="297" spans="1:14" x14ac:dyDescent="0.35">
      <c r="A297" t="s">
        <v>309</v>
      </c>
      <c r="B297" t="s">
        <v>809</v>
      </c>
      <c r="C297">
        <v>47</v>
      </c>
      <c r="D297" t="s">
        <v>1015</v>
      </c>
      <c r="E297" t="s">
        <v>1019</v>
      </c>
      <c r="F297" t="s">
        <v>1026</v>
      </c>
      <c r="G297" t="s">
        <v>1033</v>
      </c>
      <c r="H297" s="2">
        <v>45748</v>
      </c>
      <c r="I297" s="2">
        <v>45755</v>
      </c>
      <c r="J297">
        <v>59558</v>
      </c>
      <c r="K297">
        <v>9</v>
      </c>
      <c r="L297">
        <v>14</v>
      </c>
      <c r="M297">
        <v>1</v>
      </c>
      <c r="N297">
        <v>0</v>
      </c>
    </row>
    <row r="298" spans="1:14" x14ac:dyDescent="0.35">
      <c r="A298" t="s">
        <v>310</v>
      </c>
      <c r="B298" t="s">
        <v>810</v>
      </c>
      <c r="C298">
        <v>63</v>
      </c>
      <c r="D298" t="s">
        <v>1014</v>
      </c>
      <c r="E298" t="s">
        <v>1017</v>
      </c>
      <c r="F298" t="s">
        <v>1024</v>
      </c>
      <c r="G298" t="s">
        <v>1042</v>
      </c>
      <c r="H298" s="2">
        <v>45794</v>
      </c>
      <c r="I298" s="2">
        <v>45801</v>
      </c>
      <c r="J298">
        <v>451686</v>
      </c>
      <c r="K298">
        <v>3</v>
      </c>
      <c r="L298">
        <v>6</v>
      </c>
      <c r="M298">
        <v>2</v>
      </c>
      <c r="N298">
        <v>0</v>
      </c>
    </row>
    <row r="299" spans="1:14" x14ac:dyDescent="0.35">
      <c r="A299" t="s">
        <v>311</v>
      </c>
      <c r="B299" t="s">
        <v>811</v>
      </c>
      <c r="C299">
        <v>38</v>
      </c>
      <c r="D299" t="s">
        <v>1014</v>
      </c>
      <c r="E299" t="s">
        <v>1017</v>
      </c>
      <c r="F299" t="s">
        <v>1024</v>
      </c>
      <c r="G299" t="s">
        <v>1042</v>
      </c>
      <c r="H299" s="2">
        <v>45768</v>
      </c>
      <c r="I299" s="2">
        <v>45772</v>
      </c>
      <c r="J299">
        <v>90456</v>
      </c>
      <c r="K299">
        <v>9</v>
      </c>
      <c r="L299">
        <v>6</v>
      </c>
      <c r="M299">
        <v>2</v>
      </c>
      <c r="N299">
        <v>0</v>
      </c>
    </row>
    <row r="300" spans="1:14" x14ac:dyDescent="0.35">
      <c r="A300" t="s">
        <v>312</v>
      </c>
      <c r="B300" t="s">
        <v>812</v>
      </c>
      <c r="C300">
        <v>80</v>
      </c>
      <c r="D300" t="s">
        <v>1014</v>
      </c>
      <c r="E300" t="s">
        <v>1016</v>
      </c>
      <c r="F300" t="s">
        <v>1023</v>
      </c>
      <c r="G300" t="s">
        <v>1040</v>
      </c>
      <c r="H300" s="2">
        <v>45788</v>
      </c>
      <c r="I300" s="2">
        <v>45795</v>
      </c>
      <c r="J300">
        <v>451765</v>
      </c>
      <c r="K300">
        <v>6</v>
      </c>
      <c r="L300">
        <v>19</v>
      </c>
      <c r="M300">
        <v>2</v>
      </c>
      <c r="N300">
        <v>0</v>
      </c>
    </row>
    <row r="301" spans="1:14" x14ac:dyDescent="0.35">
      <c r="A301" t="s">
        <v>313</v>
      </c>
      <c r="B301" t="s">
        <v>813</v>
      </c>
      <c r="C301">
        <v>89</v>
      </c>
      <c r="D301" t="s">
        <v>1014</v>
      </c>
      <c r="E301" t="s">
        <v>1017</v>
      </c>
      <c r="F301" t="s">
        <v>1024</v>
      </c>
      <c r="G301" t="s">
        <v>1031</v>
      </c>
      <c r="H301" s="2">
        <v>45773</v>
      </c>
      <c r="I301" s="2">
        <v>45777</v>
      </c>
      <c r="J301">
        <v>144815</v>
      </c>
      <c r="K301">
        <v>2</v>
      </c>
      <c r="L301">
        <v>1</v>
      </c>
      <c r="M301">
        <v>2</v>
      </c>
      <c r="N301">
        <v>0</v>
      </c>
    </row>
    <row r="302" spans="1:14" x14ac:dyDescent="0.35">
      <c r="A302" t="s">
        <v>314</v>
      </c>
      <c r="B302" t="s">
        <v>814</v>
      </c>
      <c r="C302">
        <v>87</v>
      </c>
      <c r="D302" t="s">
        <v>1014</v>
      </c>
      <c r="E302" t="s">
        <v>1018</v>
      </c>
      <c r="F302" t="s">
        <v>1025</v>
      </c>
      <c r="G302" t="s">
        <v>1037</v>
      </c>
      <c r="H302" s="2">
        <v>45753</v>
      </c>
      <c r="I302" s="2">
        <v>45761</v>
      </c>
      <c r="J302">
        <v>240997</v>
      </c>
      <c r="K302">
        <v>3</v>
      </c>
      <c r="L302">
        <v>16</v>
      </c>
      <c r="M302">
        <v>1</v>
      </c>
      <c r="N302">
        <v>0</v>
      </c>
    </row>
    <row r="303" spans="1:14" x14ac:dyDescent="0.35">
      <c r="A303" t="s">
        <v>315</v>
      </c>
      <c r="B303" t="s">
        <v>815</v>
      </c>
      <c r="C303">
        <v>58</v>
      </c>
      <c r="D303" t="s">
        <v>1014</v>
      </c>
      <c r="E303" t="s">
        <v>1019</v>
      </c>
      <c r="F303" t="s">
        <v>1026</v>
      </c>
      <c r="G303" t="s">
        <v>1033</v>
      </c>
      <c r="H303" s="2">
        <v>45775</v>
      </c>
      <c r="I303" s="2">
        <v>45781</v>
      </c>
      <c r="J303">
        <v>444469</v>
      </c>
      <c r="K303">
        <v>6</v>
      </c>
      <c r="L303">
        <v>3</v>
      </c>
      <c r="M303">
        <v>3</v>
      </c>
      <c r="N303">
        <v>0</v>
      </c>
    </row>
    <row r="304" spans="1:14" x14ac:dyDescent="0.35">
      <c r="A304" t="s">
        <v>316</v>
      </c>
      <c r="B304" t="s">
        <v>816</v>
      </c>
      <c r="C304">
        <v>61</v>
      </c>
      <c r="D304" t="s">
        <v>1014</v>
      </c>
      <c r="E304" t="s">
        <v>1021</v>
      </c>
      <c r="F304" t="s">
        <v>1028</v>
      </c>
      <c r="G304" t="s">
        <v>1036</v>
      </c>
      <c r="H304" s="2">
        <v>45782</v>
      </c>
      <c r="I304" s="2">
        <v>45796</v>
      </c>
      <c r="J304">
        <v>461235</v>
      </c>
      <c r="K304">
        <v>7</v>
      </c>
      <c r="L304">
        <v>1</v>
      </c>
      <c r="M304">
        <v>1</v>
      </c>
      <c r="N304">
        <v>121246</v>
      </c>
    </row>
    <row r="305" spans="1:14" x14ac:dyDescent="0.35">
      <c r="A305" t="s">
        <v>317</v>
      </c>
      <c r="B305" t="s">
        <v>817</v>
      </c>
      <c r="C305">
        <v>60</v>
      </c>
      <c r="D305" t="s">
        <v>1015</v>
      </c>
      <c r="E305" t="s">
        <v>1016</v>
      </c>
      <c r="F305" t="s">
        <v>1023</v>
      </c>
      <c r="G305" t="s">
        <v>1040</v>
      </c>
      <c r="H305" s="2">
        <v>45797</v>
      </c>
      <c r="I305" s="2">
        <v>45808</v>
      </c>
      <c r="J305">
        <v>280999</v>
      </c>
      <c r="K305">
        <v>8</v>
      </c>
      <c r="L305">
        <v>7</v>
      </c>
      <c r="M305">
        <v>3</v>
      </c>
      <c r="N305">
        <v>0</v>
      </c>
    </row>
    <row r="306" spans="1:14" x14ac:dyDescent="0.35">
      <c r="A306" t="s">
        <v>318</v>
      </c>
      <c r="B306" t="s">
        <v>818</v>
      </c>
      <c r="C306">
        <v>21</v>
      </c>
      <c r="D306" t="s">
        <v>1014</v>
      </c>
      <c r="E306" t="s">
        <v>1019</v>
      </c>
      <c r="F306" t="s">
        <v>1026</v>
      </c>
      <c r="G306" t="s">
        <v>1033</v>
      </c>
      <c r="H306" s="2">
        <v>45751</v>
      </c>
      <c r="I306" s="2">
        <v>45761</v>
      </c>
      <c r="J306">
        <v>269498</v>
      </c>
      <c r="K306">
        <v>2</v>
      </c>
      <c r="L306">
        <v>8</v>
      </c>
      <c r="M306">
        <v>4</v>
      </c>
      <c r="N306">
        <v>0</v>
      </c>
    </row>
    <row r="307" spans="1:14" x14ac:dyDescent="0.35">
      <c r="A307" t="s">
        <v>319</v>
      </c>
      <c r="B307" t="s">
        <v>819</v>
      </c>
      <c r="C307">
        <v>83</v>
      </c>
      <c r="D307" t="s">
        <v>1015</v>
      </c>
      <c r="E307" t="s">
        <v>1022</v>
      </c>
      <c r="F307" t="s">
        <v>1029</v>
      </c>
      <c r="G307" t="s">
        <v>1041</v>
      </c>
      <c r="H307" s="2">
        <v>45797</v>
      </c>
      <c r="I307" s="2">
        <v>45803</v>
      </c>
      <c r="J307">
        <v>77357</v>
      </c>
      <c r="K307">
        <v>7</v>
      </c>
      <c r="L307">
        <v>9</v>
      </c>
      <c r="M307">
        <v>3</v>
      </c>
      <c r="N307">
        <v>0</v>
      </c>
    </row>
    <row r="308" spans="1:14" x14ac:dyDescent="0.35">
      <c r="A308" t="s">
        <v>320</v>
      </c>
      <c r="B308" t="s">
        <v>820</v>
      </c>
      <c r="C308">
        <v>67</v>
      </c>
      <c r="D308" t="s">
        <v>1014</v>
      </c>
      <c r="E308" t="s">
        <v>1019</v>
      </c>
      <c r="F308" t="s">
        <v>1026</v>
      </c>
      <c r="G308" t="s">
        <v>1038</v>
      </c>
      <c r="H308" s="2">
        <v>45789</v>
      </c>
      <c r="I308" s="2">
        <v>45792</v>
      </c>
      <c r="J308">
        <v>422978</v>
      </c>
      <c r="K308">
        <v>5</v>
      </c>
      <c r="L308">
        <v>1</v>
      </c>
      <c r="M308">
        <v>2</v>
      </c>
      <c r="N308">
        <v>0</v>
      </c>
    </row>
    <row r="309" spans="1:14" x14ac:dyDescent="0.35">
      <c r="A309" t="s">
        <v>321</v>
      </c>
      <c r="B309" t="s">
        <v>821</v>
      </c>
      <c r="C309">
        <v>35</v>
      </c>
      <c r="D309" t="s">
        <v>1015</v>
      </c>
      <c r="E309" t="s">
        <v>1018</v>
      </c>
      <c r="F309" t="s">
        <v>1025</v>
      </c>
      <c r="G309" t="s">
        <v>1032</v>
      </c>
      <c r="H309" s="2">
        <v>45752</v>
      </c>
      <c r="I309" s="2">
        <v>45766</v>
      </c>
      <c r="J309">
        <v>134049</v>
      </c>
      <c r="K309">
        <v>7</v>
      </c>
      <c r="L309">
        <v>7</v>
      </c>
      <c r="M309">
        <v>3</v>
      </c>
      <c r="N309">
        <v>0</v>
      </c>
    </row>
    <row r="310" spans="1:14" x14ac:dyDescent="0.35">
      <c r="A310" t="s">
        <v>322</v>
      </c>
      <c r="B310" t="s">
        <v>822</v>
      </c>
      <c r="C310">
        <v>12</v>
      </c>
      <c r="D310" t="s">
        <v>1014</v>
      </c>
      <c r="E310" t="s">
        <v>1017</v>
      </c>
      <c r="F310" t="s">
        <v>1024</v>
      </c>
      <c r="G310" t="s">
        <v>1031</v>
      </c>
      <c r="H310" s="2">
        <v>45758</v>
      </c>
      <c r="I310" s="2">
        <v>45773</v>
      </c>
      <c r="J310">
        <v>279361</v>
      </c>
      <c r="K310">
        <v>8</v>
      </c>
      <c r="L310">
        <v>7</v>
      </c>
      <c r="M310">
        <v>2</v>
      </c>
      <c r="N310">
        <v>0</v>
      </c>
    </row>
    <row r="311" spans="1:14" x14ac:dyDescent="0.35">
      <c r="A311" t="s">
        <v>323</v>
      </c>
      <c r="B311" t="s">
        <v>823</v>
      </c>
      <c r="C311">
        <v>7</v>
      </c>
      <c r="D311" t="s">
        <v>1015</v>
      </c>
      <c r="E311" t="s">
        <v>1021</v>
      </c>
      <c r="F311" t="s">
        <v>1028</v>
      </c>
      <c r="G311" t="s">
        <v>1036</v>
      </c>
      <c r="H311" s="2">
        <v>45756</v>
      </c>
      <c r="I311" s="2">
        <v>45758</v>
      </c>
      <c r="J311">
        <v>267525</v>
      </c>
      <c r="K311">
        <v>6</v>
      </c>
      <c r="L311">
        <v>11</v>
      </c>
      <c r="M311">
        <v>4</v>
      </c>
      <c r="N311">
        <v>108485</v>
      </c>
    </row>
    <row r="312" spans="1:14" x14ac:dyDescent="0.35">
      <c r="A312" t="s">
        <v>324</v>
      </c>
      <c r="B312" t="s">
        <v>824</v>
      </c>
      <c r="C312">
        <v>48</v>
      </c>
      <c r="D312" t="s">
        <v>1014</v>
      </c>
      <c r="E312" t="s">
        <v>1017</v>
      </c>
      <c r="F312" t="s">
        <v>1024</v>
      </c>
      <c r="G312" t="s">
        <v>1042</v>
      </c>
      <c r="H312" s="2">
        <v>45792</v>
      </c>
      <c r="I312" s="2">
        <v>45800</v>
      </c>
      <c r="J312">
        <v>92784</v>
      </c>
      <c r="K312">
        <v>9</v>
      </c>
      <c r="L312">
        <v>10</v>
      </c>
      <c r="M312">
        <v>3</v>
      </c>
      <c r="N312">
        <v>0</v>
      </c>
    </row>
    <row r="313" spans="1:14" x14ac:dyDescent="0.35">
      <c r="A313" t="s">
        <v>325</v>
      </c>
      <c r="B313" t="s">
        <v>825</v>
      </c>
      <c r="C313">
        <v>84</v>
      </c>
      <c r="D313" t="s">
        <v>1015</v>
      </c>
      <c r="E313" t="s">
        <v>1021</v>
      </c>
      <c r="F313" t="s">
        <v>1028</v>
      </c>
      <c r="G313" t="s">
        <v>1035</v>
      </c>
      <c r="H313" s="2">
        <v>45780</v>
      </c>
      <c r="I313" s="2">
        <v>45783</v>
      </c>
      <c r="J313">
        <v>489970</v>
      </c>
      <c r="K313">
        <v>6</v>
      </c>
      <c r="L313">
        <v>9</v>
      </c>
      <c r="M313">
        <v>2</v>
      </c>
      <c r="N313">
        <v>281731</v>
      </c>
    </row>
    <row r="314" spans="1:14" x14ac:dyDescent="0.35">
      <c r="A314" t="s">
        <v>326</v>
      </c>
      <c r="B314" t="s">
        <v>826</v>
      </c>
      <c r="C314">
        <v>61</v>
      </c>
      <c r="D314" t="s">
        <v>1014</v>
      </c>
      <c r="E314" t="s">
        <v>1017</v>
      </c>
      <c r="F314" t="s">
        <v>1024</v>
      </c>
      <c r="G314" t="s">
        <v>1031</v>
      </c>
      <c r="H314" s="2">
        <v>45794</v>
      </c>
      <c r="I314" s="2">
        <v>45796</v>
      </c>
      <c r="J314">
        <v>200407</v>
      </c>
      <c r="K314">
        <v>5</v>
      </c>
      <c r="L314">
        <v>19</v>
      </c>
      <c r="M314">
        <v>1</v>
      </c>
      <c r="N314">
        <v>0</v>
      </c>
    </row>
    <row r="315" spans="1:14" x14ac:dyDescent="0.35">
      <c r="A315" t="s">
        <v>327</v>
      </c>
      <c r="B315" t="s">
        <v>827</v>
      </c>
      <c r="C315">
        <v>11</v>
      </c>
      <c r="D315" t="s">
        <v>1014</v>
      </c>
      <c r="E315" t="s">
        <v>1020</v>
      </c>
      <c r="F315" t="s">
        <v>1027</v>
      </c>
      <c r="G315" t="s">
        <v>1034</v>
      </c>
      <c r="H315" s="2">
        <v>45788</v>
      </c>
      <c r="I315" s="2">
        <v>45799</v>
      </c>
      <c r="J315">
        <v>52753</v>
      </c>
      <c r="K315">
        <v>7</v>
      </c>
      <c r="L315">
        <v>6</v>
      </c>
      <c r="M315">
        <v>1</v>
      </c>
      <c r="N315">
        <v>0</v>
      </c>
    </row>
    <row r="316" spans="1:14" x14ac:dyDescent="0.35">
      <c r="A316" t="s">
        <v>328</v>
      </c>
      <c r="B316" t="s">
        <v>828</v>
      </c>
      <c r="C316">
        <v>71</v>
      </c>
      <c r="D316" t="s">
        <v>1015</v>
      </c>
      <c r="E316" t="s">
        <v>1017</v>
      </c>
      <c r="F316" t="s">
        <v>1024</v>
      </c>
      <c r="G316" t="s">
        <v>1042</v>
      </c>
      <c r="H316" s="2">
        <v>45745</v>
      </c>
      <c r="I316" s="2">
        <v>45760</v>
      </c>
      <c r="J316">
        <v>128391</v>
      </c>
      <c r="K316">
        <v>3</v>
      </c>
      <c r="L316">
        <v>19</v>
      </c>
      <c r="M316">
        <v>4</v>
      </c>
      <c r="N316">
        <v>0</v>
      </c>
    </row>
    <row r="317" spans="1:14" x14ac:dyDescent="0.35">
      <c r="A317" t="s">
        <v>329</v>
      </c>
      <c r="B317" t="s">
        <v>829</v>
      </c>
      <c r="C317">
        <v>39</v>
      </c>
      <c r="D317" t="s">
        <v>1014</v>
      </c>
      <c r="E317" t="s">
        <v>1022</v>
      </c>
      <c r="F317" t="s">
        <v>1029</v>
      </c>
      <c r="G317" t="s">
        <v>1039</v>
      </c>
      <c r="H317" s="2">
        <v>45764</v>
      </c>
      <c r="I317" s="2">
        <v>45770</v>
      </c>
      <c r="J317">
        <v>174591</v>
      </c>
      <c r="K317">
        <v>8</v>
      </c>
      <c r="L317">
        <v>17</v>
      </c>
      <c r="M317">
        <v>3</v>
      </c>
      <c r="N317">
        <v>0</v>
      </c>
    </row>
    <row r="318" spans="1:14" x14ac:dyDescent="0.35">
      <c r="A318" t="s">
        <v>330</v>
      </c>
      <c r="B318" t="s">
        <v>830</v>
      </c>
      <c r="C318">
        <v>80</v>
      </c>
      <c r="D318" t="s">
        <v>1015</v>
      </c>
      <c r="E318" t="s">
        <v>1017</v>
      </c>
      <c r="F318" t="s">
        <v>1024</v>
      </c>
      <c r="G318" t="s">
        <v>1042</v>
      </c>
      <c r="H318" s="2">
        <v>45749</v>
      </c>
      <c r="I318" s="2">
        <v>45757</v>
      </c>
      <c r="J318">
        <v>384994</v>
      </c>
      <c r="K318">
        <v>5</v>
      </c>
      <c r="L318">
        <v>8</v>
      </c>
      <c r="M318">
        <v>4</v>
      </c>
      <c r="N318">
        <v>0</v>
      </c>
    </row>
    <row r="319" spans="1:14" x14ac:dyDescent="0.35">
      <c r="A319" t="s">
        <v>331</v>
      </c>
      <c r="B319" t="s">
        <v>831</v>
      </c>
      <c r="C319">
        <v>77</v>
      </c>
      <c r="D319" t="s">
        <v>1014</v>
      </c>
      <c r="E319" t="s">
        <v>1018</v>
      </c>
      <c r="F319" t="s">
        <v>1025</v>
      </c>
      <c r="G319" t="s">
        <v>1032</v>
      </c>
      <c r="H319" s="2">
        <v>45763</v>
      </c>
      <c r="I319" s="2">
        <v>45778</v>
      </c>
      <c r="J319">
        <v>312054</v>
      </c>
      <c r="K319">
        <v>9</v>
      </c>
      <c r="L319">
        <v>8</v>
      </c>
      <c r="M319">
        <v>1</v>
      </c>
      <c r="N319">
        <v>0</v>
      </c>
    </row>
    <row r="320" spans="1:14" x14ac:dyDescent="0.35">
      <c r="A320" t="s">
        <v>332</v>
      </c>
      <c r="B320" t="s">
        <v>832</v>
      </c>
      <c r="C320">
        <v>19</v>
      </c>
      <c r="D320" t="s">
        <v>1015</v>
      </c>
      <c r="E320" t="s">
        <v>1019</v>
      </c>
      <c r="F320" t="s">
        <v>1026</v>
      </c>
      <c r="G320" t="s">
        <v>1038</v>
      </c>
      <c r="H320" s="2">
        <v>45780</v>
      </c>
      <c r="I320" s="2">
        <v>45791</v>
      </c>
      <c r="J320">
        <v>176845</v>
      </c>
      <c r="K320">
        <v>6</v>
      </c>
      <c r="L320">
        <v>17</v>
      </c>
      <c r="M320">
        <v>2</v>
      </c>
      <c r="N320">
        <v>0</v>
      </c>
    </row>
    <row r="321" spans="1:14" x14ac:dyDescent="0.35">
      <c r="A321" t="s">
        <v>333</v>
      </c>
      <c r="B321" t="s">
        <v>833</v>
      </c>
      <c r="C321">
        <v>31</v>
      </c>
      <c r="D321" t="s">
        <v>1015</v>
      </c>
      <c r="E321" t="s">
        <v>1018</v>
      </c>
      <c r="F321" t="s">
        <v>1025</v>
      </c>
      <c r="G321" t="s">
        <v>1044</v>
      </c>
      <c r="H321" s="2">
        <v>45781</v>
      </c>
      <c r="I321" s="2">
        <v>45792</v>
      </c>
      <c r="J321">
        <v>234977</v>
      </c>
      <c r="K321">
        <v>2</v>
      </c>
      <c r="L321">
        <v>9</v>
      </c>
      <c r="M321">
        <v>4</v>
      </c>
      <c r="N321">
        <v>0</v>
      </c>
    </row>
    <row r="322" spans="1:14" x14ac:dyDescent="0.35">
      <c r="A322" t="s">
        <v>334</v>
      </c>
      <c r="B322" t="s">
        <v>834</v>
      </c>
      <c r="C322">
        <v>68</v>
      </c>
      <c r="D322" t="s">
        <v>1015</v>
      </c>
      <c r="E322" t="s">
        <v>1016</v>
      </c>
      <c r="F322" t="s">
        <v>1023</v>
      </c>
      <c r="G322" t="s">
        <v>1030</v>
      </c>
      <c r="H322" s="2">
        <v>45762</v>
      </c>
      <c r="I322" s="2">
        <v>45774</v>
      </c>
      <c r="J322">
        <v>94886</v>
      </c>
      <c r="K322">
        <v>3</v>
      </c>
      <c r="L322">
        <v>1</v>
      </c>
      <c r="M322">
        <v>4</v>
      </c>
      <c r="N322">
        <v>0</v>
      </c>
    </row>
    <row r="323" spans="1:14" x14ac:dyDescent="0.35">
      <c r="A323" t="s">
        <v>335</v>
      </c>
      <c r="B323" t="s">
        <v>835</v>
      </c>
      <c r="C323">
        <v>65</v>
      </c>
      <c r="D323" t="s">
        <v>1014</v>
      </c>
      <c r="E323" t="s">
        <v>1019</v>
      </c>
      <c r="F323" t="s">
        <v>1026</v>
      </c>
      <c r="G323" t="s">
        <v>1038</v>
      </c>
      <c r="H323" s="2">
        <v>45802</v>
      </c>
      <c r="I323" s="2">
        <v>45812</v>
      </c>
      <c r="J323">
        <v>315985</v>
      </c>
      <c r="K323">
        <v>2</v>
      </c>
      <c r="L323">
        <v>12</v>
      </c>
      <c r="M323">
        <v>2</v>
      </c>
      <c r="N323">
        <v>0</v>
      </c>
    </row>
    <row r="324" spans="1:14" x14ac:dyDescent="0.35">
      <c r="A324" t="s">
        <v>336</v>
      </c>
      <c r="B324" t="s">
        <v>836</v>
      </c>
      <c r="C324">
        <v>82</v>
      </c>
      <c r="D324" t="s">
        <v>1015</v>
      </c>
      <c r="E324" t="s">
        <v>1022</v>
      </c>
      <c r="F324" t="s">
        <v>1029</v>
      </c>
      <c r="G324" t="s">
        <v>1041</v>
      </c>
      <c r="H324" s="2">
        <v>45792</v>
      </c>
      <c r="I324" s="2">
        <v>45801</v>
      </c>
      <c r="J324">
        <v>72824</v>
      </c>
      <c r="K324">
        <v>6</v>
      </c>
      <c r="L324">
        <v>6</v>
      </c>
      <c r="M324">
        <v>4</v>
      </c>
      <c r="N324">
        <v>0</v>
      </c>
    </row>
    <row r="325" spans="1:14" x14ac:dyDescent="0.35">
      <c r="A325" t="s">
        <v>337</v>
      </c>
      <c r="B325" t="s">
        <v>837</v>
      </c>
      <c r="C325">
        <v>46</v>
      </c>
      <c r="D325" t="s">
        <v>1014</v>
      </c>
      <c r="E325" t="s">
        <v>1021</v>
      </c>
      <c r="F325" t="s">
        <v>1028</v>
      </c>
      <c r="G325" t="s">
        <v>1036</v>
      </c>
      <c r="H325" s="2">
        <v>45766</v>
      </c>
      <c r="I325" s="2">
        <v>45779</v>
      </c>
      <c r="J325">
        <v>58515</v>
      </c>
      <c r="K325">
        <v>8</v>
      </c>
      <c r="L325">
        <v>19</v>
      </c>
      <c r="M325">
        <v>1</v>
      </c>
      <c r="N325">
        <v>188839</v>
      </c>
    </row>
    <row r="326" spans="1:14" x14ac:dyDescent="0.35">
      <c r="A326" t="s">
        <v>338</v>
      </c>
      <c r="B326" t="s">
        <v>838</v>
      </c>
      <c r="C326">
        <v>81</v>
      </c>
      <c r="D326" t="s">
        <v>1014</v>
      </c>
      <c r="E326" t="s">
        <v>1017</v>
      </c>
      <c r="F326" t="s">
        <v>1024</v>
      </c>
      <c r="G326" t="s">
        <v>1031</v>
      </c>
      <c r="H326" s="2">
        <v>45760</v>
      </c>
      <c r="I326" s="2">
        <v>45773</v>
      </c>
      <c r="J326">
        <v>394511</v>
      </c>
      <c r="K326">
        <v>7</v>
      </c>
      <c r="L326">
        <v>18</v>
      </c>
      <c r="M326">
        <v>2</v>
      </c>
      <c r="N326">
        <v>0</v>
      </c>
    </row>
    <row r="327" spans="1:14" x14ac:dyDescent="0.35">
      <c r="A327" t="s">
        <v>339</v>
      </c>
      <c r="B327" t="s">
        <v>839</v>
      </c>
      <c r="C327">
        <v>70</v>
      </c>
      <c r="D327" t="s">
        <v>1015</v>
      </c>
      <c r="E327" t="s">
        <v>1017</v>
      </c>
      <c r="F327" t="s">
        <v>1024</v>
      </c>
      <c r="G327" t="s">
        <v>1042</v>
      </c>
      <c r="H327" s="2">
        <v>45790</v>
      </c>
      <c r="I327" s="2">
        <v>45792</v>
      </c>
      <c r="J327">
        <v>234706</v>
      </c>
      <c r="K327">
        <v>8</v>
      </c>
      <c r="L327">
        <v>19</v>
      </c>
      <c r="M327">
        <v>3</v>
      </c>
      <c r="N327">
        <v>0</v>
      </c>
    </row>
    <row r="328" spans="1:14" x14ac:dyDescent="0.35">
      <c r="A328" t="s">
        <v>340</v>
      </c>
      <c r="B328" t="s">
        <v>840</v>
      </c>
      <c r="C328">
        <v>60</v>
      </c>
      <c r="D328" t="s">
        <v>1015</v>
      </c>
      <c r="E328" t="s">
        <v>1022</v>
      </c>
      <c r="F328" t="s">
        <v>1029</v>
      </c>
      <c r="G328" t="s">
        <v>1039</v>
      </c>
      <c r="H328" s="2">
        <v>45771</v>
      </c>
      <c r="I328" s="2">
        <v>45785</v>
      </c>
      <c r="J328">
        <v>408970</v>
      </c>
      <c r="K328">
        <v>9</v>
      </c>
      <c r="L328">
        <v>15</v>
      </c>
      <c r="M328">
        <v>1</v>
      </c>
      <c r="N328">
        <v>0</v>
      </c>
    </row>
    <row r="329" spans="1:14" x14ac:dyDescent="0.35">
      <c r="A329" t="s">
        <v>341</v>
      </c>
      <c r="B329" t="s">
        <v>841</v>
      </c>
      <c r="C329">
        <v>59</v>
      </c>
      <c r="D329" t="s">
        <v>1014</v>
      </c>
      <c r="E329" t="s">
        <v>1022</v>
      </c>
      <c r="F329" t="s">
        <v>1029</v>
      </c>
      <c r="G329" t="s">
        <v>1041</v>
      </c>
      <c r="H329" s="2">
        <v>45768</v>
      </c>
      <c r="I329" s="2">
        <v>45772</v>
      </c>
      <c r="J329">
        <v>83082</v>
      </c>
      <c r="K329">
        <v>5</v>
      </c>
      <c r="L329">
        <v>14</v>
      </c>
      <c r="M329">
        <v>2</v>
      </c>
      <c r="N329">
        <v>0</v>
      </c>
    </row>
    <row r="330" spans="1:14" x14ac:dyDescent="0.35">
      <c r="A330" t="s">
        <v>342</v>
      </c>
      <c r="B330" t="s">
        <v>842</v>
      </c>
      <c r="C330">
        <v>26</v>
      </c>
      <c r="D330" t="s">
        <v>1014</v>
      </c>
      <c r="E330" t="s">
        <v>1017</v>
      </c>
      <c r="F330" t="s">
        <v>1024</v>
      </c>
      <c r="G330" t="s">
        <v>1031</v>
      </c>
      <c r="H330" s="2">
        <v>45745</v>
      </c>
      <c r="I330" s="2">
        <v>45747</v>
      </c>
      <c r="J330">
        <v>464769</v>
      </c>
      <c r="K330">
        <v>6</v>
      </c>
      <c r="L330">
        <v>6</v>
      </c>
      <c r="M330">
        <v>4</v>
      </c>
      <c r="N330">
        <v>0</v>
      </c>
    </row>
    <row r="331" spans="1:14" x14ac:dyDescent="0.35">
      <c r="A331" t="s">
        <v>343</v>
      </c>
      <c r="B331" t="s">
        <v>843</v>
      </c>
      <c r="C331">
        <v>70</v>
      </c>
      <c r="D331" t="s">
        <v>1015</v>
      </c>
      <c r="E331" t="s">
        <v>1021</v>
      </c>
      <c r="F331" t="s">
        <v>1028</v>
      </c>
      <c r="G331" t="s">
        <v>1036</v>
      </c>
      <c r="H331" s="2">
        <v>45768</v>
      </c>
      <c r="I331" s="2">
        <v>45778</v>
      </c>
      <c r="J331">
        <v>258784</v>
      </c>
      <c r="K331">
        <v>9</v>
      </c>
      <c r="L331">
        <v>10</v>
      </c>
      <c r="M331">
        <v>4</v>
      </c>
      <c r="N331">
        <v>180022</v>
      </c>
    </row>
    <row r="332" spans="1:14" x14ac:dyDescent="0.35">
      <c r="A332" t="s">
        <v>344</v>
      </c>
      <c r="B332" t="s">
        <v>844</v>
      </c>
      <c r="C332">
        <v>25</v>
      </c>
      <c r="D332" t="s">
        <v>1015</v>
      </c>
      <c r="E332" t="s">
        <v>1018</v>
      </c>
      <c r="F332" t="s">
        <v>1025</v>
      </c>
      <c r="G332" t="s">
        <v>1037</v>
      </c>
      <c r="H332" s="2">
        <v>45798</v>
      </c>
      <c r="I332" s="2">
        <v>45812</v>
      </c>
      <c r="J332">
        <v>389162</v>
      </c>
      <c r="K332">
        <v>6</v>
      </c>
      <c r="L332">
        <v>1</v>
      </c>
      <c r="M332">
        <v>2</v>
      </c>
      <c r="N332">
        <v>0</v>
      </c>
    </row>
    <row r="333" spans="1:14" x14ac:dyDescent="0.35">
      <c r="A333" t="s">
        <v>345</v>
      </c>
      <c r="B333" t="s">
        <v>845</v>
      </c>
      <c r="C333">
        <v>84</v>
      </c>
      <c r="D333" t="s">
        <v>1015</v>
      </c>
      <c r="E333" t="s">
        <v>1022</v>
      </c>
      <c r="F333" t="s">
        <v>1029</v>
      </c>
      <c r="G333" t="s">
        <v>1041</v>
      </c>
      <c r="H333" s="2">
        <v>45758</v>
      </c>
      <c r="I333" s="2">
        <v>45772</v>
      </c>
      <c r="J333">
        <v>75063</v>
      </c>
      <c r="K333">
        <v>2</v>
      </c>
      <c r="L333">
        <v>11</v>
      </c>
      <c r="M333">
        <v>2</v>
      </c>
      <c r="N333">
        <v>0</v>
      </c>
    </row>
    <row r="334" spans="1:14" x14ac:dyDescent="0.35">
      <c r="A334" t="s">
        <v>346</v>
      </c>
      <c r="B334" t="s">
        <v>846</v>
      </c>
      <c r="C334">
        <v>56</v>
      </c>
      <c r="D334" t="s">
        <v>1015</v>
      </c>
      <c r="E334" t="s">
        <v>1018</v>
      </c>
      <c r="F334" t="s">
        <v>1025</v>
      </c>
      <c r="G334" t="s">
        <v>1032</v>
      </c>
      <c r="H334" s="2">
        <v>45758</v>
      </c>
      <c r="I334" s="2">
        <v>45772</v>
      </c>
      <c r="J334">
        <v>242948</v>
      </c>
      <c r="K334">
        <v>9</v>
      </c>
      <c r="L334">
        <v>15</v>
      </c>
      <c r="M334">
        <v>3</v>
      </c>
      <c r="N334">
        <v>0</v>
      </c>
    </row>
    <row r="335" spans="1:14" x14ac:dyDescent="0.35">
      <c r="A335" t="s">
        <v>347</v>
      </c>
      <c r="B335" t="s">
        <v>847</v>
      </c>
      <c r="C335">
        <v>24</v>
      </c>
      <c r="D335" t="s">
        <v>1015</v>
      </c>
      <c r="E335" t="s">
        <v>1020</v>
      </c>
      <c r="F335" t="s">
        <v>1027</v>
      </c>
      <c r="G335" t="s">
        <v>1034</v>
      </c>
      <c r="H335" s="2">
        <v>45775</v>
      </c>
      <c r="I335" s="2">
        <v>45783</v>
      </c>
      <c r="J335">
        <v>227752</v>
      </c>
      <c r="K335">
        <v>1</v>
      </c>
      <c r="L335">
        <v>9</v>
      </c>
      <c r="M335">
        <v>4</v>
      </c>
      <c r="N335">
        <v>0</v>
      </c>
    </row>
    <row r="336" spans="1:14" x14ac:dyDescent="0.35">
      <c r="A336" t="s">
        <v>348</v>
      </c>
      <c r="B336" t="s">
        <v>848</v>
      </c>
      <c r="C336">
        <v>35</v>
      </c>
      <c r="D336" t="s">
        <v>1014</v>
      </c>
      <c r="E336" t="s">
        <v>1021</v>
      </c>
      <c r="F336" t="s">
        <v>1028</v>
      </c>
      <c r="G336" t="s">
        <v>1036</v>
      </c>
      <c r="H336" s="2">
        <v>45757</v>
      </c>
      <c r="I336" s="2">
        <v>45771</v>
      </c>
      <c r="J336">
        <v>322250</v>
      </c>
      <c r="K336">
        <v>4</v>
      </c>
      <c r="L336">
        <v>2</v>
      </c>
      <c r="M336">
        <v>4</v>
      </c>
      <c r="N336">
        <v>139727</v>
      </c>
    </row>
    <row r="337" spans="1:14" x14ac:dyDescent="0.35">
      <c r="A337" t="s">
        <v>349</v>
      </c>
      <c r="B337" t="s">
        <v>849</v>
      </c>
      <c r="C337">
        <v>24</v>
      </c>
      <c r="D337" t="s">
        <v>1015</v>
      </c>
      <c r="E337" t="s">
        <v>1018</v>
      </c>
      <c r="F337" t="s">
        <v>1025</v>
      </c>
      <c r="G337" t="s">
        <v>1037</v>
      </c>
      <c r="H337" s="2">
        <v>45757</v>
      </c>
      <c r="I337" s="2">
        <v>45765</v>
      </c>
      <c r="J337">
        <v>365859</v>
      </c>
      <c r="K337">
        <v>7</v>
      </c>
      <c r="L337">
        <v>8</v>
      </c>
      <c r="M337">
        <v>2</v>
      </c>
      <c r="N337">
        <v>0</v>
      </c>
    </row>
    <row r="338" spans="1:14" x14ac:dyDescent="0.35">
      <c r="A338" t="s">
        <v>350</v>
      </c>
      <c r="B338" t="s">
        <v>850</v>
      </c>
      <c r="C338">
        <v>85</v>
      </c>
      <c r="D338" t="s">
        <v>1015</v>
      </c>
      <c r="E338" t="s">
        <v>1018</v>
      </c>
      <c r="F338" t="s">
        <v>1025</v>
      </c>
      <c r="G338" t="s">
        <v>1037</v>
      </c>
      <c r="H338" s="2">
        <v>45755</v>
      </c>
      <c r="I338" s="2">
        <v>45758</v>
      </c>
      <c r="J338">
        <v>221924</v>
      </c>
      <c r="K338">
        <v>5</v>
      </c>
      <c r="L338">
        <v>13</v>
      </c>
      <c r="M338">
        <v>1</v>
      </c>
      <c r="N338">
        <v>0</v>
      </c>
    </row>
    <row r="339" spans="1:14" x14ac:dyDescent="0.35">
      <c r="A339" t="s">
        <v>351</v>
      </c>
      <c r="B339" t="s">
        <v>851</v>
      </c>
      <c r="C339">
        <v>55</v>
      </c>
      <c r="D339" t="s">
        <v>1014</v>
      </c>
      <c r="E339" t="s">
        <v>1020</v>
      </c>
      <c r="F339" t="s">
        <v>1027</v>
      </c>
      <c r="G339" t="s">
        <v>1034</v>
      </c>
      <c r="H339" s="2">
        <v>45748</v>
      </c>
      <c r="I339" s="2">
        <v>45759</v>
      </c>
      <c r="J339">
        <v>426262</v>
      </c>
      <c r="K339">
        <v>1</v>
      </c>
      <c r="L339">
        <v>9</v>
      </c>
      <c r="M339">
        <v>1</v>
      </c>
      <c r="N339">
        <v>0</v>
      </c>
    </row>
    <row r="340" spans="1:14" x14ac:dyDescent="0.35">
      <c r="A340" t="s">
        <v>352</v>
      </c>
      <c r="B340" t="s">
        <v>852</v>
      </c>
      <c r="C340">
        <v>46</v>
      </c>
      <c r="D340" t="s">
        <v>1015</v>
      </c>
      <c r="E340" t="s">
        <v>1021</v>
      </c>
      <c r="F340" t="s">
        <v>1028</v>
      </c>
      <c r="G340" t="s">
        <v>1036</v>
      </c>
      <c r="H340" s="2">
        <v>45781</v>
      </c>
      <c r="I340" s="2">
        <v>45790</v>
      </c>
      <c r="J340">
        <v>72206</v>
      </c>
      <c r="K340">
        <v>9</v>
      </c>
      <c r="L340">
        <v>15</v>
      </c>
      <c r="M340">
        <v>2</v>
      </c>
      <c r="N340">
        <v>106175</v>
      </c>
    </row>
    <row r="341" spans="1:14" x14ac:dyDescent="0.35">
      <c r="A341" t="s">
        <v>353</v>
      </c>
      <c r="B341" t="s">
        <v>853</v>
      </c>
      <c r="C341">
        <v>10</v>
      </c>
      <c r="D341" t="s">
        <v>1015</v>
      </c>
      <c r="E341" t="s">
        <v>1016</v>
      </c>
      <c r="F341" t="s">
        <v>1023</v>
      </c>
      <c r="G341" t="s">
        <v>1040</v>
      </c>
      <c r="H341" s="2">
        <v>45798</v>
      </c>
      <c r="I341" s="2">
        <v>45812</v>
      </c>
      <c r="J341">
        <v>80072</v>
      </c>
      <c r="K341">
        <v>4</v>
      </c>
      <c r="L341">
        <v>11</v>
      </c>
      <c r="M341">
        <v>4</v>
      </c>
      <c r="N341">
        <v>0</v>
      </c>
    </row>
    <row r="342" spans="1:14" x14ac:dyDescent="0.35">
      <c r="A342" t="s">
        <v>354</v>
      </c>
      <c r="B342" t="s">
        <v>854</v>
      </c>
      <c r="C342">
        <v>87</v>
      </c>
      <c r="D342" t="s">
        <v>1014</v>
      </c>
      <c r="E342" t="s">
        <v>1019</v>
      </c>
      <c r="F342" t="s">
        <v>1026</v>
      </c>
      <c r="G342" t="s">
        <v>1033</v>
      </c>
      <c r="H342" s="2">
        <v>45770</v>
      </c>
      <c r="I342" s="2">
        <v>45784</v>
      </c>
      <c r="J342">
        <v>443162</v>
      </c>
      <c r="K342">
        <v>3</v>
      </c>
      <c r="L342">
        <v>5</v>
      </c>
      <c r="M342">
        <v>4</v>
      </c>
      <c r="N342">
        <v>0</v>
      </c>
    </row>
    <row r="343" spans="1:14" x14ac:dyDescent="0.35">
      <c r="A343" t="s">
        <v>355</v>
      </c>
      <c r="B343" t="s">
        <v>855</v>
      </c>
      <c r="C343">
        <v>87</v>
      </c>
      <c r="D343" t="s">
        <v>1015</v>
      </c>
      <c r="E343" t="s">
        <v>1017</v>
      </c>
      <c r="F343" t="s">
        <v>1024</v>
      </c>
      <c r="G343" t="s">
        <v>1042</v>
      </c>
      <c r="H343" s="2">
        <v>45792</v>
      </c>
      <c r="I343" s="2">
        <v>45807</v>
      </c>
      <c r="J343">
        <v>368543</v>
      </c>
      <c r="K343">
        <v>4</v>
      </c>
      <c r="L343">
        <v>10</v>
      </c>
      <c r="M343">
        <v>3</v>
      </c>
      <c r="N343">
        <v>0</v>
      </c>
    </row>
    <row r="344" spans="1:14" x14ac:dyDescent="0.35">
      <c r="A344" t="s">
        <v>356</v>
      </c>
      <c r="B344" t="s">
        <v>856</v>
      </c>
      <c r="C344">
        <v>83</v>
      </c>
      <c r="D344" t="s">
        <v>1015</v>
      </c>
      <c r="E344" t="s">
        <v>1017</v>
      </c>
      <c r="F344" t="s">
        <v>1024</v>
      </c>
      <c r="G344" t="s">
        <v>1031</v>
      </c>
      <c r="H344" s="2">
        <v>45783</v>
      </c>
      <c r="I344" s="2">
        <v>45786</v>
      </c>
      <c r="J344">
        <v>173729</v>
      </c>
      <c r="K344">
        <v>7</v>
      </c>
      <c r="L344">
        <v>10</v>
      </c>
      <c r="M344">
        <v>4</v>
      </c>
      <c r="N344">
        <v>0</v>
      </c>
    </row>
    <row r="345" spans="1:14" x14ac:dyDescent="0.35">
      <c r="A345" t="s">
        <v>357</v>
      </c>
      <c r="B345" t="s">
        <v>857</v>
      </c>
      <c r="C345">
        <v>78</v>
      </c>
      <c r="D345" t="s">
        <v>1014</v>
      </c>
      <c r="E345" t="s">
        <v>1020</v>
      </c>
      <c r="F345" t="s">
        <v>1027</v>
      </c>
      <c r="G345" t="s">
        <v>1034</v>
      </c>
      <c r="H345" s="2">
        <v>45791</v>
      </c>
      <c r="I345" s="2">
        <v>45802</v>
      </c>
      <c r="J345">
        <v>66979</v>
      </c>
      <c r="K345">
        <v>5</v>
      </c>
      <c r="L345">
        <v>3</v>
      </c>
      <c r="M345">
        <v>1</v>
      </c>
      <c r="N345">
        <v>0</v>
      </c>
    </row>
    <row r="346" spans="1:14" x14ac:dyDescent="0.35">
      <c r="A346" t="s">
        <v>358</v>
      </c>
      <c r="B346" t="s">
        <v>858</v>
      </c>
      <c r="C346">
        <v>10</v>
      </c>
      <c r="D346" t="s">
        <v>1014</v>
      </c>
      <c r="E346" t="s">
        <v>1021</v>
      </c>
      <c r="F346" t="s">
        <v>1028</v>
      </c>
      <c r="G346" t="s">
        <v>1036</v>
      </c>
      <c r="H346" s="2">
        <v>45802</v>
      </c>
      <c r="I346" s="2">
        <v>45809</v>
      </c>
      <c r="J346">
        <v>282752</v>
      </c>
      <c r="K346">
        <v>8</v>
      </c>
      <c r="L346">
        <v>17</v>
      </c>
      <c r="M346">
        <v>1</v>
      </c>
      <c r="N346">
        <v>191837</v>
      </c>
    </row>
    <row r="347" spans="1:14" x14ac:dyDescent="0.35">
      <c r="A347" t="s">
        <v>359</v>
      </c>
      <c r="B347" t="s">
        <v>859</v>
      </c>
      <c r="C347">
        <v>36</v>
      </c>
      <c r="D347" t="s">
        <v>1014</v>
      </c>
      <c r="E347" t="s">
        <v>1020</v>
      </c>
      <c r="F347" t="s">
        <v>1027</v>
      </c>
      <c r="G347" t="s">
        <v>1043</v>
      </c>
      <c r="H347" s="2">
        <v>45788</v>
      </c>
      <c r="I347" s="2">
        <v>45795</v>
      </c>
      <c r="J347">
        <v>390556</v>
      </c>
      <c r="K347">
        <v>3</v>
      </c>
      <c r="L347">
        <v>17</v>
      </c>
      <c r="M347">
        <v>4</v>
      </c>
      <c r="N347">
        <v>0</v>
      </c>
    </row>
    <row r="348" spans="1:14" x14ac:dyDescent="0.35">
      <c r="A348" t="s">
        <v>360</v>
      </c>
      <c r="B348" t="s">
        <v>860</v>
      </c>
      <c r="C348">
        <v>64</v>
      </c>
      <c r="D348" t="s">
        <v>1015</v>
      </c>
      <c r="E348" t="s">
        <v>1018</v>
      </c>
      <c r="F348" t="s">
        <v>1025</v>
      </c>
      <c r="G348" t="s">
        <v>1032</v>
      </c>
      <c r="H348" s="2">
        <v>45772</v>
      </c>
      <c r="I348" s="2">
        <v>45785</v>
      </c>
      <c r="J348">
        <v>147542</v>
      </c>
      <c r="K348">
        <v>1</v>
      </c>
      <c r="L348">
        <v>6</v>
      </c>
      <c r="M348">
        <v>2</v>
      </c>
      <c r="N348">
        <v>0</v>
      </c>
    </row>
    <row r="349" spans="1:14" x14ac:dyDescent="0.35">
      <c r="A349" t="s">
        <v>361</v>
      </c>
      <c r="B349" t="s">
        <v>861</v>
      </c>
      <c r="C349">
        <v>34</v>
      </c>
      <c r="D349" t="s">
        <v>1015</v>
      </c>
      <c r="E349" t="s">
        <v>1018</v>
      </c>
      <c r="F349" t="s">
        <v>1025</v>
      </c>
      <c r="G349" t="s">
        <v>1044</v>
      </c>
      <c r="H349" s="2">
        <v>45747</v>
      </c>
      <c r="I349" s="2">
        <v>45753</v>
      </c>
      <c r="J349">
        <v>456304</v>
      </c>
      <c r="K349">
        <v>5</v>
      </c>
      <c r="L349">
        <v>6</v>
      </c>
      <c r="M349">
        <v>3</v>
      </c>
      <c r="N349">
        <v>0</v>
      </c>
    </row>
    <row r="350" spans="1:14" x14ac:dyDescent="0.35">
      <c r="A350" t="s">
        <v>362</v>
      </c>
      <c r="B350" t="s">
        <v>862</v>
      </c>
      <c r="C350">
        <v>63</v>
      </c>
      <c r="D350" t="s">
        <v>1014</v>
      </c>
      <c r="E350" t="s">
        <v>1019</v>
      </c>
      <c r="F350" t="s">
        <v>1026</v>
      </c>
      <c r="G350" t="s">
        <v>1033</v>
      </c>
      <c r="H350" s="2">
        <v>45749</v>
      </c>
      <c r="I350" s="2">
        <v>45755</v>
      </c>
      <c r="J350">
        <v>413845</v>
      </c>
      <c r="K350">
        <v>4</v>
      </c>
      <c r="L350">
        <v>5</v>
      </c>
      <c r="M350">
        <v>3</v>
      </c>
      <c r="N350">
        <v>0</v>
      </c>
    </row>
    <row r="351" spans="1:14" x14ac:dyDescent="0.35">
      <c r="A351" t="s">
        <v>363</v>
      </c>
      <c r="B351" t="s">
        <v>863</v>
      </c>
      <c r="C351">
        <v>58</v>
      </c>
      <c r="D351" t="s">
        <v>1014</v>
      </c>
      <c r="E351" t="s">
        <v>1017</v>
      </c>
      <c r="F351" t="s">
        <v>1024</v>
      </c>
      <c r="G351" t="s">
        <v>1031</v>
      </c>
      <c r="H351" s="2">
        <v>45773</v>
      </c>
      <c r="I351" s="2">
        <v>45788</v>
      </c>
      <c r="J351">
        <v>88824</v>
      </c>
      <c r="K351">
        <v>3</v>
      </c>
      <c r="L351">
        <v>16</v>
      </c>
      <c r="M351">
        <v>1</v>
      </c>
      <c r="N351">
        <v>0</v>
      </c>
    </row>
    <row r="352" spans="1:14" x14ac:dyDescent="0.35">
      <c r="A352" t="s">
        <v>364</v>
      </c>
      <c r="B352" t="s">
        <v>864</v>
      </c>
      <c r="C352">
        <v>41</v>
      </c>
      <c r="D352" t="s">
        <v>1015</v>
      </c>
      <c r="E352" t="s">
        <v>1018</v>
      </c>
      <c r="F352" t="s">
        <v>1025</v>
      </c>
      <c r="G352" t="s">
        <v>1032</v>
      </c>
      <c r="H352" s="2">
        <v>45796</v>
      </c>
      <c r="I352" s="2">
        <v>45810</v>
      </c>
      <c r="J352">
        <v>407527</v>
      </c>
      <c r="K352">
        <v>2</v>
      </c>
      <c r="L352">
        <v>2</v>
      </c>
      <c r="M352">
        <v>3</v>
      </c>
      <c r="N352">
        <v>0</v>
      </c>
    </row>
    <row r="353" spans="1:14" x14ac:dyDescent="0.35">
      <c r="A353" t="s">
        <v>365</v>
      </c>
      <c r="B353" t="s">
        <v>865</v>
      </c>
      <c r="C353">
        <v>38</v>
      </c>
      <c r="D353" t="s">
        <v>1015</v>
      </c>
      <c r="E353" t="s">
        <v>1018</v>
      </c>
      <c r="F353" t="s">
        <v>1025</v>
      </c>
      <c r="G353" t="s">
        <v>1044</v>
      </c>
      <c r="H353" s="2">
        <v>45793</v>
      </c>
      <c r="I353" s="2">
        <v>45803</v>
      </c>
      <c r="J353">
        <v>334253</v>
      </c>
      <c r="K353">
        <v>1</v>
      </c>
      <c r="L353">
        <v>2</v>
      </c>
      <c r="M353">
        <v>3</v>
      </c>
      <c r="N353">
        <v>0</v>
      </c>
    </row>
    <row r="354" spans="1:14" x14ac:dyDescent="0.35">
      <c r="A354" t="s">
        <v>366</v>
      </c>
      <c r="B354" t="s">
        <v>866</v>
      </c>
      <c r="C354">
        <v>82</v>
      </c>
      <c r="D354" t="s">
        <v>1014</v>
      </c>
      <c r="E354" t="s">
        <v>1016</v>
      </c>
      <c r="F354" t="s">
        <v>1023</v>
      </c>
      <c r="G354" t="s">
        <v>1040</v>
      </c>
      <c r="H354" s="2">
        <v>45755</v>
      </c>
      <c r="I354" s="2">
        <v>45768</v>
      </c>
      <c r="J354">
        <v>417116</v>
      </c>
      <c r="K354">
        <v>1</v>
      </c>
      <c r="L354">
        <v>12</v>
      </c>
      <c r="M354">
        <v>2</v>
      </c>
      <c r="N354">
        <v>0</v>
      </c>
    </row>
    <row r="355" spans="1:14" x14ac:dyDescent="0.35">
      <c r="A355" t="s">
        <v>367</v>
      </c>
      <c r="B355" t="s">
        <v>867</v>
      </c>
      <c r="C355">
        <v>26</v>
      </c>
      <c r="D355" t="s">
        <v>1014</v>
      </c>
      <c r="E355" t="s">
        <v>1019</v>
      </c>
      <c r="F355" t="s">
        <v>1026</v>
      </c>
      <c r="G355" t="s">
        <v>1033</v>
      </c>
      <c r="H355" s="2">
        <v>45759</v>
      </c>
      <c r="I355" s="2">
        <v>45764</v>
      </c>
      <c r="J355">
        <v>113628</v>
      </c>
      <c r="K355">
        <v>5</v>
      </c>
      <c r="L355">
        <v>4</v>
      </c>
      <c r="M355">
        <v>4</v>
      </c>
      <c r="N355">
        <v>0</v>
      </c>
    </row>
    <row r="356" spans="1:14" x14ac:dyDescent="0.35">
      <c r="A356" t="s">
        <v>368</v>
      </c>
      <c r="B356" t="s">
        <v>868</v>
      </c>
      <c r="C356">
        <v>47</v>
      </c>
      <c r="D356" t="s">
        <v>1015</v>
      </c>
      <c r="E356" t="s">
        <v>1022</v>
      </c>
      <c r="F356" t="s">
        <v>1029</v>
      </c>
      <c r="G356" t="s">
        <v>1041</v>
      </c>
      <c r="H356" s="2">
        <v>45771</v>
      </c>
      <c r="I356" s="2">
        <v>45780</v>
      </c>
      <c r="J356">
        <v>63780</v>
      </c>
      <c r="K356">
        <v>7</v>
      </c>
      <c r="L356">
        <v>15</v>
      </c>
      <c r="M356">
        <v>2</v>
      </c>
      <c r="N356">
        <v>0</v>
      </c>
    </row>
    <row r="357" spans="1:14" x14ac:dyDescent="0.35">
      <c r="A357" t="s">
        <v>369</v>
      </c>
      <c r="B357" t="s">
        <v>869</v>
      </c>
      <c r="C357">
        <v>79</v>
      </c>
      <c r="D357" t="s">
        <v>1014</v>
      </c>
      <c r="E357" t="s">
        <v>1022</v>
      </c>
      <c r="F357" t="s">
        <v>1029</v>
      </c>
      <c r="G357" t="s">
        <v>1039</v>
      </c>
      <c r="H357" s="2">
        <v>45750</v>
      </c>
      <c r="I357" s="2">
        <v>45760</v>
      </c>
      <c r="J357">
        <v>118037</v>
      </c>
      <c r="K357">
        <v>7</v>
      </c>
      <c r="L357">
        <v>14</v>
      </c>
      <c r="M357">
        <v>1</v>
      </c>
      <c r="N357">
        <v>0</v>
      </c>
    </row>
    <row r="358" spans="1:14" x14ac:dyDescent="0.35">
      <c r="A358" t="s">
        <v>370</v>
      </c>
      <c r="B358" t="s">
        <v>870</v>
      </c>
      <c r="C358">
        <v>62</v>
      </c>
      <c r="D358" t="s">
        <v>1015</v>
      </c>
      <c r="E358" t="s">
        <v>1021</v>
      </c>
      <c r="F358" t="s">
        <v>1028</v>
      </c>
      <c r="G358" t="s">
        <v>1036</v>
      </c>
      <c r="H358" s="2">
        <v>45788</v>
      </c>
      <c r="I358" s="2">
        <v>45796</v>
      </c>
      <c r="J358">
        <v>425879</v>
      </c>
      <c r="K358">
        <v>4</v>
      </c>
      <c r="L358">
        <v>19</v>
      </c>
      <c r="M358">
        <v>2</v>
      </c>
      <c r="N358">
        <v>187246</v>
      </c>
    </row>
    <row r="359" spans="1:14" x14ac:dyDescent="0.35">
      <c r="A359" t="s">
        <v>371</v>
      </c>
      <c r="B359" t="s">
        <v>871</v>
      </c>
      <c r="C359">
        <v>17</v>
      </c>
      <c r="D359" t="s">
        <v>1015</v>
      </c>
      <c r="E359" t="s">
        <v>1022</v>
      </c>
      <c r="F359" t="s">
        <v>1029</v>
      </c>
      <c r="G359" t="s">
        <v>1039</v>
      </c>
      <c r="H359" s="2">
        <v>45789</v>
      </c>
      <c r="I359" s="2">
        <v>45800</v>
      </c>
      <c r="J359">
        <v>88666</v>
      </c>
      <c r="K359">
        <v>2</v>
      </c>
      <c r="L359">
        <v>2</v>
      </c>
      <c r="M359">
        <v>1</v>
      </c>
      <c r="N359">
        <v>0</v>
      </c>
    </row>
    <row r="360" spans="1:14" x14ac:dyDescent="0.35">
      <c r="A360" t="s">
        <v>372</v>
      </c>
      <c r="B360" t="s">
        <v>872</v>
      </c>
      <c r="C360">
        <v>67</v>
      </c>
      <c r="D360" t="s">
        <v>1015</v>
      </c>
      <c r="E360" t="s">
        <v>1020</v>
      </c>
      <c r="F360" t="s">
        <v>1027</v>
      </c>
      <c r="G360" t="s">
        <v>1043</v>
      </c>
      <c r="H360" s="2">
        <v>45749</v>
      </c>
      <c r="I360" s="2">
        <v>45758</v>
      </c>
      <c r="J360">
        <v>406572</v>
      </c>
      <c r="K360">
        <v>4</v>
      </c>
      <c r="L360">
        <v>14</v>
      </c>
      <c r="M360">
        <v>3</v>
      </c>
      <c r="N360">
        <v>0</v>
      </c>
    </row>
    <row r="361" spans="1:14" x14ac:dyDescent="0.35">
      <c r="A361" t="s">
        <v>373</v>
      </c>
      <c r="B361" t="s">
        <v>873</v>
      </c>
      <c r="C361">
        <v>82</v>
      </c>
      <c r="D361" t="s">
        <v>1014</v>
      </c>
      <c r="E361" t="s">
        <v>1022</v>
      </c>
      <c r="F361" t="s">
        <v>1029</v>
      </c>
      <c r="G361" t="s">
        <v>1039</v>
      </c>
      <c r="H361" s="2">
        <v>45773</v>
      </c>
      <c r="I361" s="2">
        <v>45787</v>
      </c>
      <c r="J361">
        <v>339041</v>
      </c>
      <c r="K361">
        <v>4</v>
      </c>
      <c r="L361">
        <v>4</v>
      </c>
      <c r="M361">
        <v>3</v>
      </c>
      <c r="N361">
        <v>0</v>
      </c>
    </row>
    <row r="362" spans="1:14" x14ac:dyDescent="0.35">
      <c r="A362" t="s">
        <v>374</v>
      </c>
      <c r="B362" t="s">
        <v>874</v>
      </c>
      <c r="C362">
        <v>16</v>
      </c>
      <c r="D362" t="s">
        <v>1014</v>
      </c>
      <c r="E362" t="s">
        <v>1020</v>
      </c>
      <c r="F362" t="s">
        <v>1027</v>
      </c>
      <c r="G362" t="s">
        <v>1034</v>
      </c>
      <c r="H362" s="2">
        <v>45751</v>
      </c>
      <c r="I362" s="2">
        <v>45761</v>
      </c>
      <c r="J362">
        <v>79052</v>
      </c>
      <c r="K362">
        <v>9</v>
      </c>
      <c r="L362">
        <v>15</v>
      </c>
      <c r="M362">
        <v>2</v>
      </c>
      <c r="N362">
        <v>0</v>
      </c>
    </row>
    <row r="363" spans="1:14" x14ac:dyDescent="0.35">
      <c r="A363" t="s">
        <v>375</v>
      </c>
      <c r="B363" t="s">
        <v>875</v>
      </c>
      <c r="C363">
        <v>29</v>
      </c>
      <c r="D363" t="s">
        <v>1015</v>
      </c>
      <c r="E363" t="s">
        <v>1017</v>
      </c>
      <c r="F363" t="s">
        <v>1024</v>
      </c>
      <c r="G363" t="s">
        <v>1031</v>
      </c>
      <c r="H363" s="2">
        <v>45772</v>
      </c>
      <c r="I363" s="2">
        <v>45776</v>
      </c>
      <c r="J363">
        <v>219167</v>
      </c>
      <c r="K363">
        <v>6</v>
      </c>
      <c r="L363">
        <v>19</v>
      </c>
      <c r="M363">
        <v>4</v>
      </c>
      <c r="N363">
        <v>0</v>
      </c>
    </row>
    <row r="364" spans="1:14" x14ac:dyDescent="0.35">
      <c r="A364" t="s">
        <v>376</v>
      </c>
      <c r="B364" t="s">
        <v>876</v>
      </c>
      <c r="C364">
        <v>26</v>
      </c>
      <c r="D364" t="s">
        <v>1015</v>
      </c>
      <c r="E364" t="s">
        <v>1022</v>
      </c>
      <c r="F364" t="s">
        <v>1029</v>
      </c>
      <c r="G364" t="s">
        <v>1039</v>
      </c>
      <c r="H364" s="2">
        <v>45798</v>
      </c>
      <c r="I364" s="2">
        <v>45801</v>
      </c>
      <c r="J364">
        <v>181389</v>
      </c>
      <c r="K364">
        <v>5</v>
      </c>
      <c r="L364">
        <v>9</v>
      </c>
      <c r="M364">
        <v>3</v>
      </c>
      <c r="N364">
        <v>0</v>
      </c>
    </row>
    <row r="365" spans="1:14" x14ac:dyDescent="0.35">
      <c r="A365" t="s">
        <v>377</v>
      </c>
      <c r="B365" t="s">
        <v>877</v>
      </c>
      <c r="C365">
        <v>69</v>
      </c>
      <c r="D365" t="s">
        <v>1014</v>
      </c>
      <c r="E365" t="s">
        <v>1016</v>
      </c>
      <c r="F365" t="s">
        <v>1023</v>
      </c>
      <c r="G365" t="s">
        <v>1030</v>
      </c>
      <c r="H365" s="2">
        <v>45757</v>
      </c>
      <c r="I365" s="2">
        <v>45763</v>
      </c>
      <c r="J365">
        <v>372137</v>
      </c>
      <c r="K365">
        <v>5</v>
      </c>
      <c r="L365">
        <v>16</v>
      </c>
      <c r="M365">
        <v>1</v>
      </c>
      <c r="N365">
        <v>0</v>
      </c>
    </row>
    <row r="366" spans="1:14" x14ac:dyDescent="0.35">
      <c r="A366" t="s">
        <v>378</v>
      </c>
      <c r="B366" t="s">
        <v>878</v>
      </c>
      <c r="C366">
        <v>22</v>
      </c>
      <c r="D366" t="s">
        <v>1015</v>
      </c>
      <c r="E366" t="s">
        <v>1019</v>
      </c>
      <c r="F366" t="s">
        <v>1026</v>
      </c>
      <c r="G366" t="s">
        <v>1033</v>
      </c>
      <c r="H366" s="2">
        <v>45777</v>
      </c>
      <c r="I366" s="2">
        <v>45788</v>
      </c>
      <c r="J366">
        <v>130842</v>
      </c>
      <c r="K366">
        <v>6</v>
      </c>
      <c r="L366">
        <v>12</v>
      </c>
      <c r="M366">
        <v>3</v>
      </c>
      <c r="N366">
        <v>0</v>
      </c>
    </row>
    <row r="367" spans="1:14" x14ac:dyDescent="0.35">
      <c r="A367" t="s">
        <v>379</v>
      </c>
      <c r="B367" t="s">
        <v>879</v>
      </c>
      <c r="C367">
        <v>11</v>
      </c>
      <c r="D367" t="s">
        <v>1014</v>
      </c>
      <c r="E367" t="s">
        <v>1022</v>
      </c>
      <c r="F367" t="s">
        <v>1029</v>
      </c>
      <c r="G367" t="s">
        <v>1041</v>
      </c>
      <c r="H367" s="2">
        <v>45776</v>
      </c>
      <c r="I367" s="2">
        <v>45791</v>
      </c>
      <c r="J367">
        <v>64875</v>
      </c>
      <c r="K367">
        <v>9</v>
      </c>
      <c r="L367">
        <v>15</v>
      </c>
      <c r="M367">
        <v>3</v>
      </c>
      <c r="N367">
        <v>0</v>
      </c>
    </row>
    <row r="368" spans="1:14" x14ac:dyDescent="0.35">
      <c r="A368" t="s">
        <v>380</v>
      </c>
      <c r="B368" t="s">
        <v>880</v>
      </c>
      <c r="C368">
        <v>74</v>
      </c>
      <c r="D368" t="s">
        <v>1015</v>
      </c>
      <c r="E368" t="s">
        <v>1016</v>
      </c>
      <c r="F368" t="s">
        <v>1023</v>
      </c>
      <c r="G368" t="s">
        <v>1030</v>
      </c>
      <c r="H368" s="2">
        <v>45753</v>
      </c>
      <c r="I368" s="2">
        <v>45758</v>
      </c>
      <c r="J368">
        <v>452107</v>
      </c>
      <c r="K368">
        <v>2</v>
      </c>
      <c r="L368">
        <v>17</v>
      </c>
      <c r="M368">
        <v>1</v>
      </c>
      <c r="N368">
        <v>0</v>
      </c>
    </row>
    <row r="369" spans="1:14" x14ac:dyDescent="0.35">
      <c r="A369" t="s">
        <v>381</v>
      </c>
      <c r="B369" t="s">
        <v>881</v>
      </c>
      <c r="C369">
        <v>38</v>
      </c>
      <c r="D369" t="s">
        <v>1015</v>
      </c>
      <c r="E369" t="s">
        <v>1020</v>
      </c>
      <c r="F369" t="s">
        <v>1027</v>
      </c>
      <c r="G369" t="s">
        <v>1034</v>
      </c>
      <c r="H369" s="2">
        <v>45761</v>
      </c>
      <c r="I369" s="2">
        <v>45773</v>
      </c>
      <c r="J369">
        <v>336039</v>
      </c>
      <c r="K369">
        <v>9</v>
      </c>
      <c r="L369">
        <v>14</v>
      </c>
      <c r="M369">
        <v>4</v>
      </c>
      <c r="N369">
        <v>0</v>
      </c>
    </row>
    <row r="370" spans="1:14" x14ac:dyDescent="0.35">
      <c r="A370" t="s">
        <v>382</v>
      </c>
      <c r="B370" t="s">
        <v>882</v>
      </c>
      <c r="C370">
        <v>88</v>
      </c>
      <c r="D370" t="s">
        <v>1015</v>
      </c>
      <c r="E370" t="s">
        <v>1017</v>
      </c>
      <c r="F370" t="s">
        <v>1024</v>
      </c>
      <c r="G370" t="s">
        <v>1031</v>
      </c>
      <c r="H370" s="2">
        <v>45745</v>
      </c>
      <c r="I370" s="2">
        <v>45759</v>
      </c>
      <c r="J370">
        <v>473283</v>
      </c>
      <c r="K370">
        <v>1</v>
      </c>
      <c r="L370">
        <v>15</v>
      </c>
      <c r="M370">
        <v>4</v>
      </c>
      <c r="N370">
        <v>0</v>
      </c>
    </row>
    <row r="371" spans="1:14" x14ac:dyDescent="0.35">
      <c r="A371" t="s">
        <v>383</v>
      </c>
      <c r="B371" t="s">
        <v>883</v>
      </c>
      <c r="C371">
        <v>8</v>
      </c>
      <c r="D371" t="s">
        <v>1014</v>
      </c>
      <c r="E371" t="s">
        <v>1020</v>
      </c>
      <c r="F371" t="s">
        <v>1027</v>
      </c>
      <c r="G371" t="s">
        <v>1034</v>
      </c>
      <c r="H371" s="2">
        <v>45771</v>
      </c>
      <c r="I371" s="2">
        <v>45774</v>
      </c>
      <c r="J371">
        <v>411031</v>
      </c>
      <c r="K371">
        <v>1</v>
      </c>
      <c r="L371">
        <v>6</v>
      </c>
      <c r="M371">
        <v>4</v>
      </c>
      <c r="N371">
        <v>0</v>
      </c>
    </row>
    <row r="372" spans="1:14" x14ac:dyDescent="0.35">
      <c r="A372" t="s">
        <v>384</v>
      </c>
      <c r="B372" t="s">
        <v>884</v>
      </c>
      <c r="C372">
        <v>27</v>
      </c>
      <c r="D372" t="s">
        <v>1015</v>
      </c>
      <c r="E372" t="s">
        <v>1020</v>
      </c>
      <c r="F372" t="s">
        <v>1027</v>
      </c>
      <c r="G372" t="s">
        <v>1043</v>
      </c>
      <c r="H372" s="2">
        <v>45777</v>
      </c>
      <c r="I372" s="2">
        <v>45786</v>
      </c>
      <c r="J372">
        <v>293501</v>
      </c>
      <c r="K372">
        <v>4</v>
      </c>
      <c r="L372">
        <v>3</v>
      </c>
      <c r="M372">
        <v>2</v>
      </c>
      <c r="N372">
        <v>0</v>
      </c>
    </row>
    <row r="373" spans="1:14" x14ac:dyDescent="0.35">
      <c r="A373" t="s">
        <v>385</v>
      </c>
      <c r="B373" t="s">
        <v>885</v>
      </c>
      <c r="C373">
        <v>41</v>
      </c>
      <c r="D373" t="s">
        <v>1015</v>
      </c>
      <c r="E373" t="s">
        <v>1021</v>
      </c>
      <c r="F373" t="s">
        <v>1028</v>
      </c>
      <c r="G373" t="s">
        <v>1036</v>
      </c>
      <c r="H373" s="2">
        <v>45791</v>
      </c>
      <c r="I373" s="2">
        <v>45806</v>
      </c>
      <c r="J373">
        <v>426629</v>
      </c>
      <c r="K373">
        <v>6</v>
      </c>
      <c r="L373">
        <v>6</v>
      </c>
      <c r="M373">
        <v>4</v>
      </c>
      <c r="N373">
        <v>292794</v>
      </c>
    </row>
    <row r="374" spans="1:14" x14ac:dyDescent="0.35">
      <c r="A374" t="s">
        <v>386</v>
      </c>
      <c r="B374" t="s">
        <v>886</v>
      </c>
      <c r="C374">
        <v>66</v>
      </c>
      <c r="D374" t="s">
        <v>1014</v>
      </c>
      <c r="E374" t="s">
        <v>1017</v>
      </c>
      <c r="F374" t="s">
        <v>1024</v>
      </c>
      <c r="G374" t="s">
        <v>1031</v>
      </c>
      <c r="H374" s="2">
        <v>45802</v>
      </c>
      <c r="I374" s="2">
        <v>45816</v>
      </c>
      <c r="J374">
        <v>244269</v>
      </c>
      <c r="K374">
        <v>2</v>
      </c>
      <c r="L374">
        <v>1</v>
      </c>
      <c r="M374">
        <v>1</v>
      </c>
      <c r="N374">
        <v>0</v>
      </c>
    </row>
    <row r="375" spans="1:14" x14ac:dyDescent="0.35">
      <c r="A375" t="s">
        <v>387</v>
      </c>
      <c r="B375" t="s">
        <v>887</v>
      </c>
      <c r="C375">
        <v>35</v>
      </c>
      <c r="D375" t="s">
        <v>1015</v>
      </c>
      <c r="E375" t="s">
        <v>1017</v>
      </c>
      <c r="F375" t="s">
        <v>1024</v>
      </c>
      <c r="G375" t="s">
        <v>1042</v>
      </c>
      <c r="H375" s="2">
        <v>45768</v>
      </c>
      <c r="I375" s="2">
        <v>45777</v>
      </c>
      <c r="J375">
        <v>114236</v>
      </c>
      <c r="K375">
        <v>7</v>
      </c>
      <c r="L375">
        <v>12</v>
      </c>
      <c r="M375">
        <v>3</v>
      </c>
      <c r="N375">
        <v>0</v>
      </c>
    </row>
    <row r="376" spans="1:14" x14ac:dyDescent="0.35">
      <c r="A376" t="s">
        <v>388</v>
      </c>
      <c r="B376" t="s">
        <v>888</v>
      </c>
      <c r="C376">
        <v>38</v>
      </c>
      <c r="D376" t="s">
        <v>1015</v>
      </c>
      <c r="E376" t="s">
        <v>1017</v>
      </c>
      <c r="F376" t="s">
        <v>1024</v>
      </c>
      <c r="G376" t="s">
        <v>1031</v>
      </c>
      <c r="H376" s="2">
        <v>45756</v>
      </c>
      <c r="I376" s="2">
        <v>45759</v>
      </c>
      <c r="J376">
        <v>76531</v>
      </c>
      <c r="K376">
        <v>9</v>
      </c>
      <c r="L376">
        <v>6</v>
      </c>
      <c r="M376">
        <v>3</v>
      </c>
      <c r="N376">
        <v>0</v>
      </c>
    </row>
    <row r="377" spans="1:14" x14ac:dyDescent="0.35">
      <c r="A377" t="s">
        <v>389</v>
      </c>
      <c r="B377" t="s">
        <v>889</v>
      </c>
      <c r="C377">
        <v>42</v>
      </c>
      <c r="D377" t="s">
        <v>1015</v>
      </c>
      <c r="E377" t="s">
        <v>1017</v>
      </c>
      <c r="F377" t="s">
        <v>1024</v>
      </c>
      <c r="G377" t="s">
        <v>1042</v>
      </c>
      <c r="H377" s="2">
        <v>45757</v>
      </c>
      <c r="I377" s="2">
        <v>45772</v>
      </c>
      <c r="J377">
        <v>133728</v>
      </c>
      <c r="K377">
        <v>6</v>
      </c>
      <c r="L377">
        <v>6</v>
      </c>
      <c r="M377">
        <v>3</v>
      </c>
      <c r="N377">
        <v>0</v>
      </c>
    </row>
    <row r="378" spans="1:14" x14ac:dyDescent="0.35">
      <c r="A378" t="s">
        <v>390</v>
      </c>
      <c r="B378" t="s">
        <v>890</v>
      </c>
      <c r="C378">
        <v>66</v>
      </c>
      <c r="D378" t="s">
        <v>1015</v>
      </c>
      <c r="E378" t="s">
        <v>1022</v>
      </c>
      <c r="F378" t="s">
        <v>1029</v>
      </c>
      <c r="G378" t="s">
        <v>1041</v>
      </c>
      <c r="H378" s="2">
        <v>45802</v>
      </c>
      <c r="I378" s="2">
        <v>45806</v>
      </c>
      <c r="J378">
        <v>311234</v>
      </c>
      <c r="K378">
        <v>3</v>
      </c>
      <c r="L378">
        <v>14</v>
      </c>
      <c r="M378">
        <v>2</v>
      </c>
      <c r="N378">
        <v>0</v>
      </c>
    </row>
    <row r="379" spans="1:14" x14ac:dyDescent="0.35">
      <c r="A379" t="s">
        <v>391</v>
      </c>
      <c r="B379" t="s">
        <v>891</v>
      </c>
      <c r="C379">
        <v>12</v>
      </c>
      <c r="D379" t="s">
        <v>1015</v>
      </c>
      <c r="E379" t="s">
        <v>1021</v>
      </c>
      <c r="F379" t="s">
        <v>1028</v>
      </c>
      <c r="G379" t="s">
        <v>1036</v>
      </c>
      <c r="H379" s="2">
        <v>45773</v>
      </c>
      <c r="I379" s="2">
        <v>45782</v>
      </c>
      <c r="J379">
        <v>62151</v>
      </c>
      <c r="K379">
        <v>7</v>
      </c>
      <c r="L379">
        <v>8</v>
      </c>
      <c r="M379">
        <v>4</v>
      </c>
      <c r="N379">
        <v>204500</v>
      </c>
    </row>
    <row r="380" spans="1:14" x14ac:dyDescent="0.35">
      <c r="A380" t="s">
        <v>392</v>
      </c>
      <c r="B380" t="s">
        <v>892</v>
      </c>
      <c r="C380">
        <v>46</v>
      </c>
      <c r="D380" t="s">
        <v>1014</v>
      </c>
      <c r="E380" t="s">
        <v>1017</v>
      </c>
      <c r="F380" t="s">
        <v>1024</v>
      </c>
      <c r="G380" t="s">
        <v>1042</v>
      </c>
      <c r="H380" s="2">
        <v>45753</v>
      </c>
      <c r="I380" s="2">
        <v>45758</v>
      </c>
      <c r="J380">
        <v>355840</v>
      </c>
      <c r="K380">
        <v>5</v>
      </c>
      <c r="L380">
        <v>17</v>
      </c>
      <c r="M380">
        <v>1</v>
      </c>
      <c r="N380">
        <v>0</v>
      </c>
    </row>
    <row r="381" spans="1:14" x14ac:dyDescent="0.35">
      <c r="A381" t="s">
        <v>393</v>
      </c>
      <c r="B381" t="s">
        <v>893</v>
      </c>
      <c r="C381">
        <v>84</v>
      </c>
      <c r="D381" t="s">
        <v>1015</v>
      </c>
      <c r="E381" t="s">
        <v>1021</v>
      </c>
      <c r="F381" t="s">
        <v>1028</v>
      </c>
      <c r="G381" t="s">
        <v>1036</v>
      </c>
      <c r="H381" s="2">
        <v>45770</v>
      </c>
      <c r="I381" s="2">
        <v>45779</v>
      </c>
      <c r="J381">
        <v>363271</v>
      </c>
      <c r="K381">
        <v>8</v>
      </c>
      <c r="L381">
        <v>15</v>
      </c>
      <c r="M381">
        <v>1</v>
      </c>
      <c r="N381">
        <v>255259</v>
      </c>
    </row>
    <row r="382" spans="1:14" x14ac:dyDescent="0.35">
      <c r="A382" t="s">
        <v>394</v>
      </c>
      <c r="B382" t="s">
        <v>894</v>
      </c>
      <c r="C382">
        <v>14</v>
      </c>
      <c r="D382" t="s">
        <v>1015</v>
      </c>
      <c r="E382" t="s">
        <v>1019</v>
      </c>
      <c r="F382" t="s">
        <v>1026</v>
      </c>
      <c r="G382" t="s">
        <v>1033</v>
      </c>
      <c r="H382" s="2">
        <v>45766</v>
      </c>
      <c r="I382" s="2">
        <v>45768</v>
      </c>
      <c r="J382">
        <v>494162</v>
      </c>
      <c r="K382">
        <v>9</v>
      </c>
      <c r="L382">
        <v>3</v>
      </c>
      <c r="M382">
        <v>4</v>
      </c>
      <c r="N382">
        <v>0</v>
      </c>
    </row>
    <row r="383" spans="1:14" x14ac:dyDescent="0.35">
      <c r="A383" t="s">
        <v>395</v>
      </c>
      <c r="B383" t="s">
        <v>895</v>
      </c>
      <c r="C383">
        <v>52</v>
      </c>
      <c r="D383" t="s">
        <v>1015</v>
      </c>
      <c r="E383" t="s">
        <v>1021</v>
      </c>
      <c r="F383" t="s">
        <v>1028</v>
      </c>
      <c r="G383" t="s">
        <v>1035</v>
      </c>
      <c r="H383" s="2">
        <v>45750</v>
      </c>
      <c r="I383" s="2">
        <v>45763</v>
      </c>
      <c r="J383">
        <v>241772</v>
      </c>
      <c r="K383">
        <v>1</v>
      </c>
      <c r="L383">
        <v>15</v>
      </c>
      <c r="M383">
        <v>3</v>
      </c>
      <c r="N383">
        <v>134539</v>
      </c>
    </row>
    <row r="384" spans="1:14" x14ac:dyDescent="0.35">
      <c r="A384" t="s">
        <v>396</v>
      </c>
      <c r="B384" t="s">
        <v>896</v>
      </c>
      <c r="C384">
        <v>72</v>
      </c>
      <c r="D384" t="s">
        <v>1014</v>
      </c>
      <c r="E384" t="s">
        <v>1020</v>
      </c>
      <c r="F384" t="s">
        <v>1027</v>
      </c>
      <c r="G384" t="s">
        <v>1034</v>
      </c>
      <c r="H384" s="2">
        <v>45796</v>
      </c>
      <c r="I384" s="2">
        <v>45798</v>
      </c>
      <c r="J384">
        <v>348991</v>
      </c>
      <c r="K384">
        <v>1</v>
      </c>
      <c r="L384">
        <v>6</v>
      </c>
      <c r="M384">
        <v>4</v>
      </c>
      <c r="N384">
        <v>0</v>
      </c>
    </row>
    <row r="385" spans="1:14" x14ac:dyDescent="0.35">
      <c r="A385" t="s">
        <v>397</v>
      </c>
      <c r="B385" t="s">
        <v>897</v>
      </c>
      <c r="C385">
        <v>50</v>
      </c>
      <c r="D385" t="s">
        <v>1015</v>
      </c>
      <c r="E385" t="s">
        <v>1019</v>
      </c>
      <c r="F385" t="s">
        <v>1026</v>
      </c>
      <c r="G385" t="s">
        <v>1038</v>
      </c>
      <c r="H385" s="2">
        <v>45780</v>
      </c>
      <c r="I385" s="2">
        <v>45786</v>
      </c>
      <c r="J385">
        <v>88551</v>
      </c>
      <c r="K385">
        <v>9</v>
      </c>
      <c r="L385">
        <v>2</v>
      </c>
      <c r="M385">
        <v>1</v>
      </c>
      <c r="N385">
        <v>0</v>
      </c>
    </row>
    <row r="386" spans="1:14" x14ac:dyDescent="0.35">
      <c r="A386" t="s">
        <v>398</v>
      </c>
      <c r="B386" t="s">
        <v>898</v>
      </c>
      <c r="C386">
        <v>79</v>
      </c>
      <c r="D386" t="s">
        <v>1014</v>
      </c>
      <c r="E386" t="s">
        <v>1022</v>
      </c>
      <c r="F386" t="s">
        <v>1029</v>
      </c>
      <c r="G386" t="s">
        <v>1039</v>
      </c>
      <c r="H386" s="2">
        <v>45785</v>
      </c>
      <c r="I386" s="2">
        <v>45796</v>
      </c>
      <c r="J386">
        <v>406724</v>
      </c>
      <c r="K386">
        <v>3</v>
      </c>
      <c r="L386">
        <v>9</v>
      </c>
      <c r="M386">
        <v>3</v>
      </c>
      <c r="N386">
        <v>0</v>
      </c>
    </row>
    <row r="387" spans="1:14" x14ac:dyDescent="0.35">
      <c r="A387" t="s">
        <v>399</v>
      </c>
      <c r="B387" t="s">
        <v>899</v>
      </c>
      <c r="C387">
        <v>44</v>
      </c>
      <c r="D387" t="s">
        <v>1015</v>
      </c>
      <c r="E387" t="s">
        <v>1018</v>
      </c>
      <c r="F387" t="s">
        <v>1025</v>
      </c>
      <c r="G387" t="s">
        <v>1044</v>
      </c>
      <c r="H387" s="2">
        <v>45792</v>
      </c>
      <c r="I387" s="2">
        <v>45800</v>
      </c>
      <c r="J387">
        <v>245663</v>
      </c>
      <c r="K387">
        <v>7</v>
      </c>
      <c r="L387">
        <v>3</v>
      </c>
      <c r="M387">
        <v>2</v>
      </c>
      <c r="N387">
        <v>0</v>
      </c>
    </row>
    <row r="388" spans="1:14" x14ac:dyDescent="0.35">
      <c r="A388" t="s">
        <v>400</v>
      </c>
      <c r="B388" t="s">
        <v>900</v>
      </c>
      <c r="C388">
        <v>52</v>
      </c>
      <c r="D388" t="s">
        <v>1014</v>
      </c>
      <c r="E388" t="s">
        <v>1017</v>
      </c>
      <c r="F388" t="s">
        <v>1024</v>
      </c>
      <c r="G388" t="s">
        <v>1042</v>
      </c>
      <c r="H388" s="2">
        <v>45791</v>
      </c>
      <c r="I388" s="2">
        <v>45802</v>
      </c>
      <c r="J388">
        <v>316926</v>
      </c>
      <c r="K388">
        <v>2</v>
      </c>
      <c r="L388">
        <v>6</v>
      </c>
      <c r="M388">
        <v>1</v>
      </c>
      <c r="N388">
        <v>0</v>
      </c>
    </row>
    <row r="389" spans="1:14" x14ac:dyDescent="0.35">
      <c r="A389" t="s">
        <v>401</v>
      </c>
      <c r="B389" t="s">
        <v>901</v>
      </c>
      <c r="C389">
        <v>43</v>
      </c>
      <c r="D389" t="s">
        <v>1015</v>
      </c>
      <c r="E389" t="s">
        <v>1018</v>
      </c>
      <c r="F389" t="s">
        <v>1025</v>
      </c>
      <c r="G389" t="s">
        <v>1032</v>
      </c>
      <c r="H389" s="2">
        <v>45757</v>
      </c>
      <c r="I389" s="2">
        <v>45761</v>
      </c>
      <c r="J389">
        <v>424127</v>
      </c>
      <c r="K389">
        <v>9</v>
      </c>
      <c r="L389">
        <v>9</v>
      </c>
      <c r="M389">
        <v>1</v>
      </c>
      <c r="N389">
        <v>0</v>
      </c>
    </row>
    <row r="390" spans="1:14" x14ac:dyDescent="0.35">
      <c r="A390" t="s">
        <v>402</v>
      </c>
      <c r="B390" t="s">
        <v>902</v>
      </c>
      <c r="C390">
        <v>66</v>
      </c>
      <c r="D390" t="s">
        <v>1014</v>
      </c>
      <c r="E390" t="s">
        <v>1020</v>
      </c>
      <c r="F390" t="s">
        <v>1027</v>
      </c>
      <c r="G390" t="s">
        <v>1034</v>
      </c>
      <c r="H390" s="2">
        <v>45751</v>
      </c>
      <c r="I390" s="2">
        <v>45755</v>
      </c>
      <c r="J390">
        <v>367855</v>
      </c>
      <c r="K390">
        <v>9</v>
      </c>
      <c r="L390">
        <v>18</v>
      </c>
      <c r="M390">
        <v>2</v>
      </c>
      <c r="N390">
        <v>0</v>
      </c>
    </row>
    <row r="391" spans="1:14" x14ac:dyDescent="0.35">
      <c r="A391" t="s">
        <v>403</v>
      </c>
      <c r="B391" t="s">
        <v>903</v>
      </c>
      <c r="C391">
        <v>51</v>
      </c>
      <c r="D391" t="s">
        <v>1015</v>
      </c>
      <c r="E391" t="s">
        <v>1019</v>
      </c>
      <c r="F391" t="s">
        <v>1026</v>
      </c>
      <c r="G391" t="s">
        <v>1038</v>
      </c>
      <c r="H391" s="2">
        <v>45795</v>
      </c>
      <c r="I391" s="2">
        <v>45802</v>
      </c>
      <c r="J391">
        <v>135197</v>
      </c>
      <c r="K391">
        <v>9</v>
      </c>
      <c r="L391">
        <v>18</v>
      </c>
      <c r="M391">
        <v>4</v>
      </c>
      <c r="N391">
        <v>0</v>
      </c>
    </row>
    <row r="392" spans="1:14" x14ac:dyDescent="0.35">
      <c r="A392" t="s">
        <v>404</v>
      </c>
      <c r="B392" t="s">
        <v>904</v>
      </c>
      <c r="C392">
        <v>69</v>
      </c>
      <c r="D392" t="s">
        <v>1015</v>
      </c>
      <c r="E392" t="s">
        <v>1019</v>
      </c>
      <c r="F392" t="s">
        <v>1026</v>
      </c>
      <c r="G392" t="s">
        <v>1038</v>
      </c>
      <c r="H392" s="2">
        <v>45786</v>
      </c>
      <c r="I392" s="2">
        <v>45801</v>
      </c>
      <c r="J392">
        <v>317236</v>
      </c>
      <c r="K392">
        <v>1</v>
      </c>
      <c r="L392">
        <v>9</v>
      </c>
      <c r="M392">
        <v>4</v>
      </c>
      <c r="N392">
        <v>0</v>
      </c>
    </row>
    <row r="393" spans="1:14" x14ac:dyDescent="0.35">
      <c r="A393" t="s">
        <v>405</v>
      </c>
      <c r="B393" t="s">
        <v>905</v>
      </c>
      <c r="C393">
        <v>48</v>
      </c>
      <c r="D393" t="s">
        <v>1015</v>
      </c>
      <c r="E393" t="s">
        <v>1020</v>
      </c>
      <c r="F393" t="s">
        <v>1027</v>
      </c>
      <c r="G393" t="s">
        <v>1043</v>
      </c>
      <c r="H393" s="2">
        <v>45782</v>
      </c>
      <c r="I393" s="2">
        <v>45797</v>
      </c>
      <c r="J393">
        <v>58722</v>
      </c>
      <c r="K393">
        <v>4</v>
      </c>
      <c r="L393">
        <v>2</v>
      </c>
      <c r="M393">
        <v>2</v>
      </c>
      <c r="N393">
        <v>0</v>
      </c>
    </row>
    <row r="394" spans="1:14" x14ac:dyDescent="0.35">
      <c r="A394" t="s">
        <v>406</v>
      </c>
      <c r="B394" t="s">
        <v>906</v>
      </c>
      <c r="C394">
        <v>89</v>
      </c>
      <c r="D394" t="s">
        <v>1014</v>
      </c>
      <c r="E394" t="s">
        <v>1020</v>
      </c>
      <c r="F394" t="s">
        <v>1027</v>
      </c>
      <c r="G394" t="s">
        <v>1034</v>
      </c>
      <c r="H394" s="2">
        <v>45789</v>
      </c>
      <c r="I394" s="2">
        <v>45800</v>
      </c>
      <c r="J394">
        <v>211311</v>
      </c>
      <c r="K394">
        <v>9</v>
      </c>
      <c r="L394">
        <v>3</v>
      </c>
      <c r="M394">
        <v>3</v>
      </c>
      <c r="N394">
        <v>0</v>
      </c>
    </row>
    <row r="395" spans="1:14" x14ac:dyDescent="0.35">
      <c r="A395" t="s">
        <v>407</v>
      </c>
      <c r="B395" t="s">
        <v>907</v>
      </c>
      <c r="C395">
        <v>75</v>
      </c>
      <c r="D395" t="s">
        <v>1014</v>
      </c>
      <c r="E395" t="s">
        <v>1021</v>
      </c>
      <c r="F395" t="s">
        <v>1028</v>
      </c>
      <c r="G395" t="s">
        <v>1035</v>
      </c>
      <c r="H395" s="2">
        <v>45784</v>
      </c>
      <c r="I395" s="2">
        <v>45796</v>
      </c>
      <c r="J395">
        <v>460467</v>
      </c>
      <c r="K395">
        <v>7</v>
      </c>
      <c r="L395">
        <v>9</v>
      </c>
      <c r="M395">
        <v>4</v>
      </c>
      <c r="N395">
        <v>271613</v>
      </c>
    </row>
    <row r="396" spans="1:14" x14ac:dyDescent="0.35">
      <c r="A396" t="s">
        <v>408</v>
      </c>
      <c r="B396" t="s">
        <v>908</v>
      </c>
      <c r="C396">
        <v>68</v>
      </c>
      <c r="D396" t="s">
        <v>1015</v>
      </c>
      <c r="E396" t="s">
        <v>1019</v>
      </c>
      <c r="F396" t="s">
        <v>1026</v>
      </c>
      <c r="G396" t="s">
        <v>1033</v>
      </c>
      <c r="H396" s="2">
        <v>45750</v>
      </c>
      <c r="I396" s="2">
        <v>45759</v>
      </c>
      <c r="J396">
        <v>139397</v>
      </c>
      <c r="K396">
        <v>3</v>
      </c>
      <c r="L396">
        <v>15</v>
      </c>
      <c r="M396">
        <v>3</v>
      </c>
      <c r="N396">
        <v>0</v>
      </c>
    </row>
    <row r="397" spans="1:14" x14ac:dyDescent="0.35">
      <c r="A397" t="s">
        <v>409</v>
      </c>
      <c r="B397" t="s">
        <v>909</v>
      </c>
      <c r="C397">
        <v>5</v>
      </c>
      <c r="D397" t="s">
        <v>1014</v>
      </c>
      <c r="E397" t="s">
        <v>1022</v>
      </c>
      <c r="F397" t="s">
        <v>1029</v>
      </c>
      <c r="G397" t="s">
        <v>1039</v>
      </c>
      <c r="H397" s="2">
        <v>45750</v>
      </c>
      <c r="I397" s="2">
        <v>45762</v>
      </c>
      <c r="J397">
        <v>176980</v>
      </c>
      <c r="K397">
        <v>6</v>
      </c>
      <c r="L397">
        <v>13</v>
      </c>
      <c r="M397">
        <v>1</v>
      </c>
      <c r="N397">
        <v>0</v>
      </c>
    </row>
    <row r="398" spans="1:14" x14ac:dyDescent="0.35">
      <c r="A398" t="s">
        <v>410</v>
      </c>
      <c r="B398" t="s">
        <v>910</v>
      </c>
      <c r="C398">
        <v>54</v>
      </c>
      <c r="D398" t="s">
        <v>1014</v>
      </c>
      <c r="E398" t="s">
        <v>1018</v>
      </c>
      <c r="F398" t="s">
        <v>1025</v>
      </c>
      <c r="G398" t="s">
        <v>1037</v>
      </c>
      <c r="H398" s="2">
        <v>45799</v>
      </c>
      <c r="I398" s="2">
        <v>45808</v>
      </c>
      <c r="J398">
        <v>214465</v>
      </c>
      <c r="K398">
        <v>4</v>
      </c>
      <c r="L398">
        <v>16</v>
      </c>
      <c r="M398">
        <v>3</v>
      </c>
      <c r="N398">
        <v>0</v>
      </c>
    </row>
    <row r="399" spans="1:14" x14ac:dyDescent="0.35">
      <c r="A399" t="s">
        <v>411</v>
      </c>
      <c r="B399" t="s">
        <v>911</v>
      </c>
      <c r="C399">
        <v>65</v>
      </c>
      <c r="D399" t="s">
        <v>1015</v>
      </c>
      <c r="E399" t="s">
        <v>1016</v>
      </c>
      <c r="F399" t="s">
        <v>1023</v>
      </c>
      <c r="G399" t="s">
        <v>1030</v>
      </c>
      <c r="H399" s="2">
        <v>45760</v>
      </c>
      <c r="I399" s="2">
        <v>45765</v>
      </c>
      <c r="J399">
        <v>265155</v>
      </c>
      <c r="K399">
        <v>4</v>
      </c>
      <c r="L399">
        <v>11</v>
      </c>
      <c r="M399">
        <v>4</v>
      </c>
      <c r="N399">
        <v>0</v>
      </c>
    </row>
    <row r="400" spans="1:14" x14ac:dyDescent="0.35">
      <c r="A400" t="s">
        <v>412</v>
      </c>
      <c r="B400" t="s">
        <v>912</v>
      </c>
      <c r="C400">
        <v>27</v>
      </c>
      <c r="D400" t="s">
        <v>1015</v>
      </c>
      <c r="E400" t="s">
        <v>1016</v>
      </c>
      <c r="F400" t="s">
        <v>1023</v>
      </c>
      <c r="G400" t="s">
        <v>1040</v>
      </c>
      <c r="H400" s="2">
        <v>45782</v>
      </c>
      <c r="I400" s="2">
        <v>45786</v>
      </c>
      <c r="J400">
        <v>321939</v>
      </c>
      <c r="K400">
        <v>8</v>
      </c>
      <c r="L400">
        <v>16</v>
      </c>
      <c r="M400">
        <v>3</v>
      </c>
      <c r="N400">
        <v>0</v>
      </c>
    </row>
    <row r="401" spans="1:14" x14ac:dyDescent="0.35">
      <c r="A401" t="s">
        <v>413</v>
      </c>
      <c r="B401" t="s">
        <v>913</v>
      </c>
      <c r="C401">
        <v>23</v>
      </c>
      <c r="D401" t="s">
        <v>1015</v>
      </c>
      <c r="E401" t="s">
        <v>1019</v>
      </c>
      <c r="F401" t="s">
        <v>1026</v>
      </c>
      <c r="G401" t="s">
        <v>1038</v>
      </c>
      <c r="H401" s="2">
        <v>45792</v>
      </c>
      <c r="I401" s="2">
        <v>45800</v>
      </c>
      <c r="J401">
        <v>214496</v>
      </c>
      <c r="K401">
        <v>3</v>
      </c>
      <c r="L401">
        <v>16</v>
      </c>
      <c r="M401">
        <v>1</v>
      </c>
      <c r="N401">
        <v>0</v>
      </c>
    </row>
    <row r="402" spans="1:14" x14ac:dyDescent="0.35">
      <c r="A402" t="s">
        <v>414</v>
      </c>
      <c r="B402" t="s">
        <v>914</v>
      </c>
      <c r="C402">
        <v>88</v>
      </c>
      <c r="D402" t="s">
        <v>1015</v>
      </c>
      <c r="E402" t="s">
        <v>1019</v>
      </c>
      <c r="F402" t="s">
        <v>1026</v>
      </c>
      <c r="G402" t="s">
        <v>1038</v>
      </c>
      <c r="H402" s="2">
        <v>45788</v>
      </c>
      <c r="I402" s="2">
        <v>45795</v>
      </c>
      <c r="J402">
        <v>404349</v>
      </c>
      <c r="K402">
        <v>4</v>
      </c>
      <c r="L402">
        <v>19</v>
      </c>
      <c r="M402">
        <v>4</v>
      </c>
      <c r="N402">
        <v>0</v>
      </c>
    </row>
    <row r="403" spans="1:14" x14ac:dyDescent="0.35">
      <c r="A403" t="s">
        <v>415</v>
      </c>
      <c r="B403" t="s">
        <v>915</v>
      </c>
      <c r="C403">
        <v>72</v>
      </c>
      <c r="D403" t="s">
        <v>1015</v>
      </c>
      <c r="E403" t="s">
        <v>1017</v>
      </c>
      <c r="F403" t="s">
        <v>1024</v>
      </c>
      <c r="G403" t="s">
        <v>1042</v>
      </c>
      <c r="H403" s="2">
        <v>45766</v>
      </c>
      <c r="I403" s="2">
        <v>45771</v>
      </c>
      <c r="J403">
        <v>196279</v>
      </c>
      <c r="K403">
        <v>7</v>
      </c>
      <c r="L403">
        <v>8</v>
      </c>
      <c r="M403">
        <v>2</v>
      </c>
      <c r="N403">
        <v>0</v>
      </c>
    </row>
    <row r="404" spans="1:14" x14ac:dyDescent="0.35">
      <c r="A404" t="s">
        <v>416</v>
      </c>
      <c r="B404" t="s">
        <v>916</v>
      </c>
      <c r="C404">
        <v>27</v>
      </c>
      <c r="D404" t="s">
        <v>1015</v>
      </c>
      <c r="E404" t="s">
        <v>1021</v>
      </c>
      <c r="F404" t="s">
        <v>1028</v>
      </c>
      <c r="G404" t="s">
        <v>1036</v>
      </c>
      <c r="H404" s="2">
        <v>45762</v>
      </c>
      <c r="I404" s="2">
        <v>45776</v>
      </c>
      <c r="J404">
        <v>201521</v>
      </c>
      <c r="K404">
        <v>5</v>
      </c>
      <c r="L404">
        <v>17</v>
      </c>
      <c r="M404">
        <v>4</v>
      </c>
      <c r="N404">
        <v>187273</v>
      </c>
    </row>
    <row r="405" spans="1:14" x14ac:dyDescent="0.35">
      <c r="A405" t="s">
        <v>417</v>
      </c>
      <c r="B405" t="s">
        <v>917</v>
      </c>
      <c r="C405">
        <v>36</v>
      </c>
      <c r="D405" t="s">
        <v>1015</v>
      </c>
      <c r="E405" t="s">
        <v>1020</v>
      </c>
      <c r="F405" t="s">
        <v>1027</v>
      </c>
      <c r="G405" t="s">
        <v>1043</v>
      </c>
      <c r="H405" s="2">
        <v>45746</v>
      </c>
      <c r="I405" s="2">
        <v>45753</v>
      </c>
      <c r="J405">
        <v>343856</v>
      </c>
      <c r="K405">
        <v>8</v>
      </c>
      <c r="L405">
        <v>7</v>
      </c>
      <c r="M405">
        <v>4</v>
      </c>
      <c r="N405">
        <v>0</v>
      </c>
    </row>
    <row r="406" spans="1:14" x14ac:dyDescent="0.35">
      <c r="A406" t="s">
        <v>418</v>
      </c>
      <c r="B406" t="s">
        <v>918</v>
      </c>
      <c r="C406">
        <v>49</v>
      </c>
      <c r="D406" t="s">
        <v>1015</v>
      </c>
      <c r="E406" t="s">
        <v>1019</v>
      </c>
      <c r="F406" t="s">
        <v>1026</v>
      </c>
      <c r="G406" t="s">
        <v>1038</v>
      </c>
      <c r="H406" s="2">
        <v>45792</v>
      </c>
      <c r="I406" s="2">
        <v>45804</v>
      </c>
      <c r="J406">
        <v>334788</v>
      </c>
      <c r="K406">
        <v>7</v>
      </c>
      <c r="L406">
        <v>9</v>
      </c>
      <c r="M406">
        <v>4</v>
      </c>
      <c r="N406">
        <v>0</v>
      </c>
    </row>
    <row r="407" spans="1:14" x14ac:dyDescent="0.35">
      <c r="A407" t="s">
        <v>419</v>
      </c>
      <c r="B407" t="s">
        <v>919</v>
      </c>
      <c r="C407">
        <v>38</v>
      </c>
      <c r="D407" t="s">
        <v>1014</v>
      </c>
      <c r="E407" t="s">
        <v>1022</v>
      </c>
      <c r="F407" t="s">
        <v>1029</v>
      </c>
      <c r="G407" t="s">
        <v>1041</v>
      </c>
      <c r="H407" s="2">
        <v>45802</v>
      </c>
      <c r="I407" s="2">
        <v>45816</v>
      </c>
      <c r="J407">
        <v>126795</v>
      </c>
      <c r="K407">
        <v>6</v>
      </c>
      <c r="L407">
        <v>19</v>
      </c>
      <c r="M407">
        <v>4</v>
      </c>
      <c r="N407">
        <v>0</v>
      </c>
    </row>
    <row r="408" spans="1:14" x14ac:dyDescent="0.35">
      <c r="A408" t="s">
        <v>420</v>
      </c>
      <c r="B408" t="s">
        <v>920</v>
      </c>
      <c r="C408">
        <v>57</v>
      </c>
      <c r="D408" t="s">
        <v>1015</v>
      </c>
      <c r="E408" t="s">
        <v>1016</v>
      </c>
      <c r="F408" t="s">
        <v>1023</v>
      </c>
      <c r="G408" t="s">
        <v>1040</v>
      </c>
      <c r="H408" s="2">
        <v>45767</v>
      </c>
      <c r="I408" s="2">
        <v>45770</v>
      </c>
      <c r="J408">
        <v>231594</v>
      </c>
      <c r="K408">
        <v>4</v>
      </c>
      <c r="L408">
        <v>6</v>
      </c>
      <c r="M408">
        <v>3</v>
      </c>
      <c r="N408">
        <v>0</v>
      </c>
    </row>
    <row r="409" spans="1:14" x14ac:dyDescent="0.35">
      <c r="A409" t="s">
        <v>421</v>
      </c>
      <c r="B409" t="s">
        <v>921</v>
      </c>
      <c r="C409">
        <v>69</v>
      </c>
      <c r="D409" t="s">
        <v>1015</v>
      </c>
      <c r="E409" t="s">
        <v>1017</v>
      </c>
      <c r="F409" t="s">
        <v>1024</v>
      </c>
      <c r="G409" t="s">
        <v>1031</v>
      </c>
      <c r="H409" s="2">
        <v>45789</v>
      </c>
      <c r="I409" s="2">
        <v>45794</v>
      </c>
      <c r="J409">
        <v>484085</v>
      </c>
      <c r="K409">
        <v>4</v>
      </c>
      <c r="L409">
        <v>2</v>
      </c>
      <c r="M409">
        <v>4</v>
      </c>
      <c r="N409">
        <v>0</v>
      </c>
    </row>
    <row r="410" spans="1:14" x14ac:dyDescent="0.35">
      <c r="A410" t="s">
        <v>422</v>
      </c>
      <c r="B410" t="s">
        <v>922</v>
      </c>
      <c r="C410">
        <v>76</v>
      </c>
      <c r="D410" t="s">
        <v>1014</v>
      </c>
      <c r="E410" t="s">
        <v>1017</v>
      </c>
      <c r="F410" t="s">
        <v>1024</v>
      </c>
      <c r="G410" t="s">
        <v>1042</v>
      </c>
      <c r="H410" s="2">
        <v>45791</v>
      </c>
      <c r="I410" s="2">
        <v>45794</v>
      </c>
      <c r="J410">
        <v>372792</v>
      </c>
      <c r="K410">
        <v>1</v>
      </c>
      <c r="L410">
        <v>5</v>
      </c>
      <c r="M410">
        <v>4</v>
      </c>
      <c r="N410">
        <v>0</v>
      </c>
    </row>
    <row r="411" spans="1:14" x14ac:dyDescent="0.35">
      <c r="A411" t="s">
        <v>423</v>
      </c>
      <c r="B411" t="s">
        <v>923</v>
      </c>
      <c r="C411">
        <v>29</v>
      </c>
      <c r="D411" t="s">
        <v>1014</v>
      </c>
      <c r="E411" t="s">
        <v>1018</v>
      </c>
      <c r="F411" t="s">
        <v>1025</v>
      </c>
      <c r="G411" t="s">
        <v>1044</v>
      </c>
      <c r="H411" s="2">
        <v>45787</v>
      </c>
      <c r="I411" s="2">
        <v>45799</v>
      </c>
      <c r="J411">
        <v>328418</v>
      </c>
      <c r="K411">
        <v>6</v>
      </c>
      <c r="L411">
        <v>9</v>
      </c>
      <c r="M411">
        <v>2</v>
      </c>
      <c r="N411">
        <v>0</v>
      </c>
    </row>
    <row r="412" spans="1:14" x14ac:dyDescent="0.35">
      <c r="A412" t="s">
        <v>424</v>
      </c>
      <c r="B412" t="s">
        <v>924</v>
      </c>
      <c r="C412">
        <v>61</v>
      </c>
      <c r="D412" t="s">
        <v>1014</v>
      </c>
      <c r="E412" t="s">
        <v>1018</v>
      </c>
      <c r="F412" t="s">
        <v>1025</v>
      </c>
      <c r="G412" t="s">
        <v>1032</v>
      </c>
      <c r="H412" s="2">
        <v>45762</v>
      </c>
      <c r="I412" s="2">
        <v>45770</v>
      </c>
      <c r="J412">
        <v>223168</v>
      </c>
      <c r="K412">
        <v>4</v>
      </c>
      <c r="L412">
        <v>10</v>
      </c>
      <c r="M412">
        <v>1</v>
      </c>
      <c r="N412">
        <v>0</v>
      </c>
    </row>
    <row r="413" spans="1:14" x14ac:dyDescent="0.35">
      <c r="A413" t="s">
        <v>425</v>
      </c>
      <c r="B413" t="s">
        <v>925</v>
      </c>
      <c r="C413">
        <v>71</v>
      </c>
      <c r="D413" t="s">
        <v>1014</v>
      </c>
      <c r="E413" t="s">
        <v>1022</v>
      </c>
      <c r="F413" t="s">
        <v>1029</v>
      </c>
      <c r="G413" t="s">
        <v>1041</v>
      </c>
      <c r="H413" s="2">
        <v>45780</v>
      </c>
      <c r="I413" s="2">
        <v>45784</v>
      </c>
      <c r="J413">
        <v>52716</v>
      </c>
      <c r="K413">
        <v>6</v>
      </c>
      <c r="L413">
        <v>8</v>
      </c>
      <c r="M413">
        <v>4</v>
      </c>
      <c r="N413">
        <v>0</v>
      </c>
    </row>
    <row r="414" spans="1:14" x14ac:dyDescent="0.35">
      <c r="A414" t="s">
        <v>426</v>
      </c>
      <c r="B414" t="s">
        <v>926</v>
      </c>
      <c r="C414">
        <v>84</v>
      </c>
      <c r="D414" t="s">
        <v>1014</v>
      </c>
      <c r="E414" t="s">
        <v>1016</v>
      </c>
      <c r="F414" t="s">
        <v>1023</v>
      </c>
      <c r="G414" t="s">
        <v>1040</v>
      </c>
      <c r="H414" s="2">
        <v>45779</v>
      </c>
      <c r="I414" s="2">
        <v>45788</v>
      </c>
      <c r="J414">
        <v>300320</v>
      </c>
      <c r="K414">
        <v>6</v>
      </c>
      <c r="L414">
        <v>4</v>
      </c>
      <c r="M414">
        <v>4</v>
      </c>
      <c r="N414">
        <v>0</v>
      </c>
    </row>
    <row r="415" spans="1:14" x14ac:dyDescent="0.35">
      <c r="A415" t="s">
        <v>427</v>
      </c>
      <c r="B415" t="s">
        <v>927</v>
      </c>
      <c r="C415">
        <v>8</v>
      </c>
      <c r="D415" t="s">
        <v>1014</v>
      </c>
      <c r="E415" t="s">
        <v>1021</v>
      </c>
      <c r="F415" t="s">
        <v>1028</v>
      </c>
      <c r="G415" t="s">
        <v>1035</v>
      </c>
      <c r="H415" s="2">
        <v>45759</v>
      </c>
      <c r="I415" s="2">
        <v>45765</v>
      </c>
      <c r="J415">
        <v>388636</v>
      </c>
      <c r="K415">
        <v>3</v>
      </c>
      <c r="L415">
        <v>10</v>
      </c>
      <c r="M415">
        <v>2</v>
      </c>
      <c r="N415">
        <v>277795</v>
      </c>
    </row>
    <row r="416" spans="1:14" x14ac:dyDescent="0.35">
      <c r="A416" t="s">
        <v>428</v>
      </c>
      <c r="B416" t="s">
        <v>928</v>
      </c>
      <c r="C416">
        <v>5</v>
      </c>
      <c r="D416" t="s">
        <v>1014</v>
      </c>
      <c r="E416" t="s">
        <v>1019</v>
      </c>
      <c r="F416" t="s">
        <v>1026</v>
      </c>
      <c r="G416" t="s">
        <v>1038</v>
      </c>
      <c r="H416" s="2">
        <v>45785</v>
      </c>
      <c r="I416" s="2">
        <v>45798</v>
      </c>
      <c r="J416">
        <v>429121</v>
      </c>
      <c r="K416">
        <v>9</v>
      </c>
      <c r="L416">
        <v>3</v>
      </c>
      <c r="M416">
        <v>2</v>
      </c>
      <c r="N416">
        <v>0</v>
      </c>
    </row>
    <row r="417" spans="1:14" x14ac:dyDescent="0.35">
      <c r="A417" t="s">
        <v>429</v>
      </c>
      <c r="B417" t="s">
        <v>929</v>
      </c>
      <c r="C417">
        <v>51</v>
      </c>
      <c r="D417" t="s">
        <v>1015</v>
      </c>
      <c r="E417" t="s">
        <v>1022</v>
      </c>
      <c r="F417" t="s">
        <v>1029</v>
      </c>
      <c r="G417" t="s">
        <v>1039</v>
      </c>
      <c r="H417" s="2">
        <v>45791</v>
      </c>
      <c r="I417" s="2">
        <v>45795</v>
      </c>
      <c r="J417">
        <v>69052</v>
      </c>
      <c r="K417">
        <v>9</v>
      </c>
      <c r="L417">
        <v>17</v>
      </c>
      <c r="M417">
        <v>2</v>
      </c>
      <c r="N417">
        <v>0</v>
      </c>
    </row>
    <row r="418" spans="1:14" x14ac:dyDescent="0.35">
      <c r="A418" t="s">
        <v>430</v>
      </c>
      <c r="B418" t="s">
        <v>930</v>
      </c>
      <c r="C418">
        <v>5</v>
      </c>
      <c r="D418" t="s">
        <v>1014</v>
      </c>
      <c r="E418" t="s">
        <v>1016</v>
      </c>
      <c r="F418" t="s">
        <v>1023</v>
      </c>
      <c r="G418" t="s">
        <v>1040</v>
      </c>
      <c r="H418" s="2">
        <v>45768</v>
      </c>
      <c r="I418" s="2">
        <v>45783</v>
      </c>
      <c r="J418">
        <v>201764</v>
      </c>
      <c r="K418">
        <v>9</v>
      </c>
      <c r="L418">
        <v>8</v>
      </c>
      <c r="M418">
        <v>1</v>
      </c>
      <c r="N418">
        <v>0</v>
      </c>
    </row>
    <row r="419" spans="1:14" x14ac:dyDescent="0.35">
      <c r="A419" t="s">
        <v>431</v>
      </c>
      <c r="B419" t="s">
        <v>931</v>
      </c>
      <c r="C419">
        <v>43</v>
      </c>
      <c r="D419" t="s">
        <v>1015</v>
      </c>
      <c r="E419" t="s">
        <v>1019</v>
      </c>
      <c r="F419" t="s">
        <v>1026</v>
      </c>
      <c r="G419" t="s">
        <v>1038</v>
      </c>
      <c r="H419" s="2">
        <v>45776</v>
      </c>
      <c r="I419" s="2">
        <v>45787</v>
      </c>
      <c r="J419">
        <v>106256</v>
      </c>
      <c r="K419">
        <v>8</v>
      </c>
      <c r="L419">
        <v>1</v>
      </c>
      <c r="M419">
        <v>4</v>
      </c>
      <c r="N419">
        <v>0</v>
      </c>
    </row>
    <row r="420" spans="1:14" x14ac:dyDescent="0.35">
      <c r="A420" t="s">
        <v>432</v>
      </c>
      <c r="B420" t="s">
        <v>932</v>
      </c>
      <c r="C420">
        <v>64</v>
      </c>
      <c r="D420" t="s">
        <v>1014</v>
      </c>
      <c r="E420" t="s">
        <v>1016</v>
      </c>
      <c r="F420" t="s">
        <v>1023</v>
      </c>
      <c r="G420" t="s">
        <v>1040</v>
      </c>
      <c r="H420" s="2">
        <v>45764</v>
      </c>
      <c r="I420" s="2">
        <v>45774</v>
      </c>
      <c r="J420">
        <v>324893</v>
      </c>
      <c r="K420">
        <v>2</v>
      </c>
      <c r="L420">
        <v>6</v>
      </c>
      <c r="M420">
        <v>2</v>
      </c>
      <c r="N420">
        <v>0</v>
      </c>
    </row>
    <row r="421" spans="1:14" x14ac:dyDescent="0.35">
      <c r="A421" t="s">
        <v>433</v>
      </c>
      <c r="B421" t="s">
        <v>933</v>
      </c>
      <c r="C421">
        <v>15</v>
      </c>
      <c r="D421" t="s">
        <v>1015</v>
      </c>
      <c r="E421" t="s">
        <v>1021</v>
      </c>
      <c r="F421" t="s">
        <v>1028</v>
      </c>
      <c r="G421" t="s">
        <v>1035</v>
      </c>
      <c r="H421" s="2">
        <v>45752</v>
      </c>
      <c r="I421" s="2">
        <v>45757</v>
      </c>
      <c r="J421">
        <v>474051</v>
      </c>
      <c r="K421">
        <v>3</v>
      </c>
      <c r="L421">
        <v>16</v>
      </c>
      <c r="M421">
        <v>4</v>
      </c>
      <c r="N421">
        <v>106699</v>
      </c>
    </row>
    <row r="422" spans="1:14" x14ac:dyDescent="0.35">
      <c r="A422" t="s">
        <v>434</v>
      </c>
      <c r="B422" t="s">
        <v>934</v>
      </c>
      <c r="C422">
        <v>33</v>
      </c>
      <c r="D422" t="s">
        <v>1014</v>
      </c>
      <c r="E422" t="s">
        <v>1016</v>
      </c>
      <c r="F422" t="s">
        <v>1023</v>
      </c>
      <c r="G422" t="s">
        <v>1030</v>
      </c>
      <c r="H422" s="2">
        <v>45786</v>
      </c>
      <c r="I422" s="2">
        <v>45795</v>
      </c>
      <c r="J422">
        <v>389888</v>
      </c>
      <c r="K422">
        <v>7</v>
      </c>
      <c r="L422">
        <v>8</v>
      </c>
      <c r="M422">
        <v>2</v>
      </c>
      <c r="N422">
        <v>0</v>
      </c>
    </row>
    <row r="423" spans="1:14" x14ac:dyDescent="0.35">
      <c r="A423" t="s">
        <v>435</v>
      </c>
      <c r="B423" t="s">
        <v>935</v>
      </c>
      <c r="C423">
        <v>38</v>
      </c>
      <c r="D423" t="s">
        <v>1014</v>
      </c>
      <c r="E423" t="s">
        <v>1016</v>
      </c>
      <c r="F423" t="s">
        <v>1023</v>
      </c>
      <c r="G423" t="s">
        <v>1030</v>
      </c>
      <c r="H423" s="2">
        <v>45757</v>
      </c>
      <c r="I423" s="2">
        <v>45764</v>
      </c>
      <c r="J423">
        <v>464589</v>
      </c>
      <c r="K423">
        <v>6</v>
      </c>
      <c r="L423">
        <v>4</v>
      </c>
      <c r="M423">
        <v>1</v>
      </c>
      <c r="N423">
        <v>0</v>
      </c>
    </row>
    <row r="424" spans="1:14" x14ac:dyDescent="0.35">
      <c r="A424" t="s">
        <v>436</v>
      </c>
      <c r="B424" t="s">
        <v>936</v>
      </c>
      <c r="C424">
        <v>52</v>
      </c>
      <c r="D424" t="s">
        <v>1015</v>
      </c>
      <c r="E424" t="s">
        <v>1019</v>
      </c>
      <c r="F424" t="s">
        <v>1026</v>
      </c>
      <c r="G424" t="s">
        <v>1038</v>
      </c>
      <c r="H424" s="2">
        <v>45780</v>
      </c>
      <c r="I424" s="2">
        <v>45795</v>
      </c>
      <c r="J424">
        <v>384876</v>
      </c>
      <c r="K424">
        <v>8</v>
      </c>
      <c r="L424">
        <v>8</v>
      </c>
      <c r="M424">
        <v>2</v>
      </c>
      <c r="N424">
        <v>0</v>
      </c>
    </row>
    <row r="425" spans="1:14" x14ac:dyDescent="0.35">
      <c r="A425" t="s">
        <v>437</v>
      </c>
      <c r="B425" t="s">
        <v>937</v>
      </c>
      <c r="C425">
        <v>13</v>
      </c>
      <c r="D425" t="s">
        <v>1014</v>
      </c>
      <c r="E425" t="s">
        <v>1018</v>
      </c>
      <c r="F425" t="s">
        <v>1025</v>
      </c>
      <c r="G425" t="s">
        <v>1044</v>
      </c>
      <c r="H425" s="2">
        <v>45749</v>
      </c>
      <c r="I425" s="2">
        <v>45757</v>
      </c>
      <c r="J425">
        <v>400882</v>
      </c>
      <c r="K425">
        <v>3</v>
      </c>
      <c r="L425">
        <v>11</v>
      </c>
      <c r="M425">
        <v>4</v>
      </c>
      <c r="N425">
        <v>0</v>
      </c>
    </row>
    <row r="426" spans="1:14" x14ac:dyDescent="0.35">
      <c r="A426" t="s">
        <v>438</v>
      </c>
      <c r="B426" t="s">
        <v>938</v>
      </c>
      <c r="C426">
        <v>1</v>
      </c>
      <c r="D426" t="s">
        <v>1015</v>
      </c>
      <c r="E426" t="s">
        <v>1020</v>
      </c>
      <c r="F426" t="s">
        <v>1027</v>
      </c>
      <c r="G426" t="s">
        <v>1034</v>
      </c>
      <c r="H426" s="2">
        <v>45765</v>
      </c>
      <c r="I426" s="2">
        <v>45772</v>
      </c>
      <c r="J426">
        <v>180048</v>
      </c>
      <c r="K426">
        <v>5</v>
      </c>
      <c r="L426">
        <v>3</v>
      </c>
      <c r="M426">
        <v>2</v>
      </c>
      <c r="N426">
        <v>0</v>
      </c>
    </row>
    <row r="427" spans="1:14" x14ac:dyDescent="0.35">
      <c r="A427" t="s">
        <v>439</v>
      </c>
      <c r="B427" t="s">
        <v>939</v>
      </c>
      <c r="C427">
        <v>35</v>
      </c>
      <c r="D427" t="s">
        <v>1015</v>
      </c>
      <c r="E427" t="s">
        <v>1017</v>
      </c>
      <c r="F427" t="s">
        <v>1024</v>
      </c>
      <c r="G427" t="s">
        <v>1031</v>
      </c>
      <c r="H427" s="2">
        <v>45768</v>
      </c>
      <c r="I427" s="2">
        <v>45777</v>
      </c>
      <c r="J427">
        <v>445185</v>
      </c>
      <c r="K427">
        <v>3</v>
      </c>
      <c r="L427">
        <v>19</v>
      </c>
      <c r="M427">
        <v>3</v>
      </c>
      <c r="N427">
        <v>0</v>
      </c>
    </row>
    <row r="428" spans="1:14" x14ac:dyDescent="0.35">
      <c r="A428" t="s">
        <v>440</v>
      </c>
      <c r="B428" t="s">
        <v>940</v>
      </c>
      <c r="C428">
        <v>2</v>
      </c>
      <c r="D428" t="s">
        <v>1015</v>
      </c>
      <c r="E428" t="s">
        <v>1019</v>
      </c>
      <c r="F428" t="s">
        <v>1026</v>
      </c>
      <c r="G428" t="s">
        <v>1038</v>
      </c>
      <c r="H428" s="2">
        <v>45757</v>
      </c>
      <c r="I428" s="2">
        <v>45770</v>
      </c>
      <c r="J428">
        <v>350352</v>
      </c>
      <c r="K428">
        <v>6</v>
      </c>
      <c r="L428">
        <v>2</v>
      </c>
      <c r="M428">
        <v>4</v>
      </c>
      <c r="N428">
        <v>0</v>
      </c>
    </row>
    <row r="429" spans="1:14" x14ac:dyDescent="0.35">
      <c r="A429" t="s">
        <v>441</v>
      </c>
      <c r="B429" t="s">
        <v>941</v>
      </c>
      <c r="C429">
        <v>86</v>
      </c>
      <c r="D429" t="s">
        <v>1014</v>
      </c>
      <c r="E429" t="s">
        <v>1016</v>
      </c>
      <c r="F429" t="s">
        <v>1023</v>
      </c>
      <c r="G429" t="s">
        <v>1040</v>
      </c>
      <c r="H429" s="2">
        <v>45802</v>
      </c>
      <c r="I429" s="2">
        <v>45807</v>
      </c>
      <c r="J429">
        <v>82571</v>
      </c>
      <c r="K429">
        <v>5</v>
      </c>
      <c r="L429">
        <v>2</v>
      </c>
      <c r="M429">
        <v>4</v>
      </c>
      <c r="N429">
        <v>0</v>
      </c>
    </row>
    <row r="430" spans="1:14" x14ac:dyDescent="0.35">
      <c r="A430" t="s">
        <v>442</v>
      </c>
      <c r="B430" t="s">
        <v>942</v>
      </c>
      <c r="C430">
        <v>88</v>
      </c>
      <c r="D430" t="s">
        <v>1015</v>
      </c>
      <c r="E430" t="s">
        <v>1021</v>
      </c>
      <c r="F430" t="s">
        <v>1028</v>
      </c>
      <c r="G430" t="s">
        <v>1035</v>
      </c>
      <c r="H430" s="2">
        <v>45756</v>
      </c>
      <c r="I430" s="2">
        <v>45760</v>
      </c>
      <c r="J430">
        <v>262555</v>
      </c>
      <c r="K430">
        <v>1</v>
      </c>
      <c r="L430">
        <v>8</v>
      </c>
      <c r="M430">
        <v>4</v>
      </c>
      <c r="N430">
        <v>253923</v>
      </c>
    </row>
    <row r="431" spans="1:14" x14ac:dyDescent="0.35">
      <c r="A431" t="s">
        <v>443</v>
      </c>
      <c r="B431" t="s">
        <v>943</v>
      </c>
      <c r="C431">
        <v>79</v>
      </c>
      <c r="D431" t="s">
        <v>1014</v>
      </c>
      <c r="E431" t="s">
        <v>1016</v>
      </c>
      <c r="F431" t="s">
        <v>1023</v>
      </c>
      <c r="G431" t="s">
        <v>1030</v>
      </c>
      <c r="H431" s="2">
        <v>45797</v>
      </c>
      <c r="I431" s="2">
        <v>45803</v>
      </c>
      <c r="J431">
        <v>242698</v>
      </c>
      <c r="K431">
        <v>8</v>
      </c>
      <c r="L431">
        <v>8</v>
      </c>
      <c r="M431">
        <v>4</v>
      </c>
      <c r="N431">
        <v>0</v>
      </c>
    </row>
    <row r="432" spans="1:14" x14ac:dyDescent="0.35">
      <c r="A432" t="s">
        <v>444</v>
      </c>
      <c r="B432" t="s">
        <v>944</v>
      </c>
      <c r="C432">
        <v>59</v>
      </c>
      <c r="D432" t="s">
        <v>1015</v>
      </c>
      <c r="E432" t="s">
        <v>1017</v>
      </c>
      <c r="F432" t="s">
        <v>1024</v>
      </c>
      <c r="G432" t="s">
        <v>1031</v>
      </c>
      <c r="H432" s="2">
        <v>45779</v>
      </c>
      <c r="I432" s="2">
        <v>45788</v>
      </c>
      <c r="J432">
        <v>130313</v>
      </c>
      <c r="K432">
        <v>8</v>
      </c>
      <c r="L432">
        <v>6</v>
      </c>
      <c r="M432">
        <v>4</v>
      </c>
      <c r="N432">
        <v>0</v>
      </c>
    </row>
    <row r="433" spans="1:14" x14ac:dyDescent="0.35">
      <c r="A433" t="s">
        <v>445</v>
      </c>
      <c r="B433" t="s">
        <v>945</v>
      </c>
      <c r="C433">
        <v>69</v>
      </c>
      <c r="D433" t="s">
        <v>1014</v>
      </c>
      <c r="E433" t="s">
        <v>1016</v>
      </c>
      <c r="F433" t="s">
        <v>1023</v>
      </c>
      <c r="G433" t="s">
        <v>1030</v>
      </c>
      <c r="H433" s="2">
        <v>45768</v>
      </c>
      <c r="I433" s="2">
        <v>45778</v>
      </c>
      <c r="J433">
        <v>296849</v>
      </c>
      <c r="K433">
        <v>1</v>
      </c>
      <c r="L433">
        <v>8</v>
      </c>
      <c r="M433">
        <v>4</v>
      </c>
      <c r="N433">
        <v>0</v>
      </c>
    </row>
    <row r="434" spans="1:14" x14ac:dyDescent="0.35">
      <c r="A434" t="s">
        <v>446</v>
      </c>
      <c r="B434" t="s">
        <v>946</v>
      </c>
      <c r="C434">
        <v>11</v>
      </c>
      <c r="D434" t="s">
        <v>1015</v>
      </c>
      <c r="E434" t="s">
        <v>1016</v>
      </c>
      <c r="F434" t="s">
        <v>1023</v>
      </c>
      <c r="G434" t="s">
        <v>1040</v>
      </c>
      <c r="H434" s="2">
        <v>45794</v>
      </c>
      <c r="I434" s="2">
        <v>45808</v>
      </c>
      <c r="J434">
        <v>362378</v>
      </c>
      <c r="K434">
        <v>9</v>
      </c>
      <c r="L434">
        <v>13</v>
      </c>
      <c r="M434">
        <v>2</v>
      </c>
      <c r="N434">
        <v>0</v>
      </c>
    </row>
    <row r="435" spans="1:14" x14ac:dyDescent="0.35">
      <c r="A435" t="s">
        <v>447</v>
      </c>
      <c r="B435" t="s">
        <v>947</v>
      </c>
      <c r="C435">
        <v>8</v>
      </c>
      <c r="D435" t="s">
        <v>1014</v>
      </c>
      <c r="E435" t="s">
        <v>1018</v>
      </c>
      <c r="F435" t="s">
        <v>1025</v>
      </c>
      <c r="G435" t="s">
        <v>1032</v>
      </c>
      <c r="H435" s="2">
        <v>45748</v>
      </c>
      <c r="I435" s="2">
        <v>45759</v>
      </c>
      <c r="J435">
        <v>108829</v>
      </c>
      <c r="K435">
        <v>4</v>
      </c>
      <c r="L435">
        <v>12</v>
      </c>
      <c r="M435">
        <v>2</v>
      </c>
      <c r="N435">
        <v>0</v>
      </c>
    </row>
    <row r="436" spans="1:14" x14ac:dyDescent="0.35">
      <c r="A436" t="s">
        <v>448</v>
      </c>
      <c r="B436" t="s">
        <v>948</v>
      </c>
      <c r="C436">
        <v>42</v>
      </c>
      <c r="D436" t="s">
        <v>1015</v>
      </c>
      <c r="E436" t="s">
        <v>1019</v>
      </c>
      <c r="F436" t="s">
        <v>1026</v>
      </c>
      <c r="G436" t="s">
        <v>1033</v>
      </c>
      <c r="H436" s="2">
        <v>45776</v>
      </c>
      <c r="I436" s="2">
        <v>45780</v>
      </c>
      <c r="J436">
        <v>136264</v>
      </c>
      <c r="K436">
        <v>5</v>
      </c>
      <c r="L436">
        <v>11</v>
      </c>
      <c r="M436">
        <v>2</v>
      </c>
      <c r="N436">
        <v>0</v>
      </c>
    </row>
    <row r="437" spans="1:14" x14ac:dyDescent="0.35">
      <c r="A437" t="s">
        <v>449</v>
      </c>
      <c r="B437" t="s">
        <v>949</v>
      </c>
      <c r="C437">
        <v>75</v>
      </c>
      <c r="D437" t="s">
        <v>1015</v>
      </c>
      <c r="E437" t="s">
        <v>1016</v>
      </c>
      <c r="F437" t="s">
        <v>1023</v>
      </c>
      <c r="G437" t="s">
        <v>1030</v>
      </c>
      <c r="H437" s="2">
        <v>45798</v>
      </c>
      <c r="I437" s="2">
        <v>45803</v>
      </c>
      <c r="J437">
        <v>425871</v>
      </c>
      <c r="K437">
        <v>7</v>
      </c>
      <c r="L437">
        <v>13</v>
      </c>
      <c r="M437">
        <v>4</v>
      </c>
      <c r="N437">
        <v>0</v>
      </c>
    </row>
    <row r="438" spans="1:14" x14ac:dyDescent="0.35">
      <c r="A438" t="s">
        <v>450</v>
      </c>
      <c r="B438" t="s">
        <v>950</v>
      </c>
      <c r="C438">
        <v>8</v>
      </c>
      <c r="D438" t="s">
        <v>1015</v>
      </c>
      <c r="E438" t="s">
        <v>1019</v>
      </c>
      <c r="F438" t="s">
        <v>1026</v>
      </c>
      <c r="G438" t="s">
        <v>1033</v>
      </c>
      <c r="H438" s="2">
        <v>45793</v>
      </c>
      <c r="I438" s="2">
        <v>45802</v>
      </c>
      <c r="J438">
        <v>473987</v>
      </c>
      <c r="K438">
        <v>6</v>
      </c>
      <c r="L438">
        <v>8</v>
      </c>
      <c r="M438">
        <v>1</v>
      </c>
      <c r="N438">
        <v>0</v>
      </c>
    </row>
    <row r="439" spans="1:14" x14ac:dyDescent="0.35">
      <c r="A439" t="s">
        <v>451</v>
      </c>
      <c r="B439" t="s">
        <v>951</v>
      </c>
      <c r="C439">
        <v>73</v>
      </c>
      <c r="D439" t="s">
        <v>1014</v>
      </c>
      <c r="E439" t="s">
        <v>1019</v>
      </c>
      <c r="F439" t="s">
        <v>1026</v>
      </c>
      <c r="G439" t="s">
        <v>1038</v>
      </c>
      <c r="H439" s="2">
        <v>45772</v>
      </c>
      <c r="I439" s="2">
        <v>45780</v>
      </c>
      <c r="J439">
        <v>289493</v>
      </c>
      <c r="K439">
        <v>3</v>
      </c>
      <c r="L439">
        <v>7</v>
      </c>
      <c r="M439">
        <v>3</v>
      </c>
      <c r="N439">
        <v>0</v>
      </c>
    </row>
    <row r="440" spans="1:14" x14ac:dyDescent="0.35">
      <c r="A440" t="s">
        <v>452</v>
      </c>
      <c r="B440" t="s">
        <v>952</v>
      </c>
      <c r="C440">
        <v>3</v>
      </c>
      <c r="D440" t="s">
        <v>1015</v>
      </c>
      <c r="E440" t="s">
        <v>1016</v>
      </c>
      <c r="F440" t="s">
        <v>1023</v>
      </c>
      <c r="G440" t="s">
        <v>1040</v>
      </c>
      <c r="H440" s="2">
        <v>45751</v>
      </c>
      <c r="I440" s="2">
        <v>45765</v>
      </c>
      <c r="J440">
        <v>211569</v>
      </c>
      <c r="K440">
        <v>2</v>
      </c>
      <c r="L440">
        <v>5</v>
      </c>
      <c r="M440">
        <v>1</v>
      </c>
      <c r="N440">
        <v>0</v>
      </c>
    </row>
    <row r="441" spans="1:14" x14ac:dyDescent="0.35">
      <c r="A441" t="s">
        <v>453</v>
      </c>
      <c r="B441" t="s">
        <v>953</v>
      </c>
      <c r="C441">
        <v>28</v>
      </c>
      <c r="D441" t="s">
        <v>1014</v>
      </c>
      <c r="E441" t="s">
        <v>1022</v>
      </c>
      <c r="F441" t="s">
        <v>1029</v>
      </c>
      <c r="G441" t="s">
        <v>1039</v>
      </c>
      <c r="H441" s="2">
        <v>45768</v>
      </c>
      <c r="I441" s="2">
        <v>45770</v>
      </c>
      <c r="J441">
        <v>441016</v>
      </c>
      <c r="K441">
        <v>3</v>
      </c>
      <c r="L441">
        <v>6</v>
      </c>
      <c r="M441">
        <v>4</v>
      </c>
      <c r="N441">
        <v>0</v>
      </c>
    </row>
    <row r="442" spans="1:14" x14ac:dyDescent="0.35">
      <c r="A442" t="s">
        <v>454</v>
      </c>
      <c r="B442" t="s">
        <v>954</v>
      </c>
      <c r="C442">
        <v>9</v>
      </c>
      <c r="D442" t="s">
        <v>1014</v>
      </c>
      <c r="E442" t="s">
        <v>1020</v>
      </c>
      <c r="F442" t="s">
        <v>1027</v>
      </c>
      <c r="G442" t="s">
        <v>1043</v>
      </c>
      <c r="H442" s="2">
        <v>45757</v>
      </c>
      <c r="I442" s="2">
        <v>45764</v>
      </c>
      <c r="J442">
        <v>417203</v>
      </c>
      <c r="K442">
        <v>6</v>
      </c>
      <c r="L442">
        <v>11</v>
      </c>
      <c r="M442">
        <v>3</v>
      </c>
      <c r="N442">
        <v>0</v>
      </c>
    </row>
    <row r="443" spans="1:14" x14ac:dyDescent="0.35">
      <c r="A443" t="s">
        <v>455</v>
      </c>
      <c r="B443" t="s">
        <v>955</v>
      </c>
      <c r="C443">
        <v>53</v>
      </c>
      <c r="D443" t="s">
        <v>1014</v>
      </c>
      <c r="E443" t="s">
        <v>1020</v>
      </c>
      <c r="F443" t="s">
        <v>1027</v>
      </c>
      <c r="G443" t="s">
        <v>1043</v>
      </c>
      <c r="H443" s="2">
        <v>45750</v>
      </c>
      <c r="I443" s="2">
        <v>45752</v>
      </c>
      <c r="J443">
        <v>200518</v>
      </c>
      <c r="K443">
        <v>6</v>
      </c>
      <c r="L443">
        <v>1</v>
      </c>
      <c r="M443">
        <v>3</v>
      </c>
      <c r="N443">
        <v>0</v>
      </c>
    </row>
    <row r="444" spans="1:14" x14ac:dyDescent="0.35">
      <c r="A444" t="s">
        <v>456</v>
      </c>
      <c r="B444" t="s">
        <v>956</v>
      </c>
      <c r="C444">
        <v>83</v>
      </c>
      <c r="D444" t="s">
        <v>1015</v>
      </c>
      <c r="E444" t="s">
        <v>1022</v>
      </c>
      <c r="F444" t="s">
        <v>1029</v>
      </c>
      <c r="G444" t="s">
        <v>1041</v>
      </c>
      <c r="H444" s="2">
        <v>45788</v>
      </c>
      <c r="I444" s="2">
        <v>45800</v>
      </c>
      <c r="J444">
        <v>432357</v>
      </c>
      <c r="K444">
        <v>7</v>
      </c>
      <c r="L444">
        <v>3</v>
      </c>
      <c r="M444">
        <v>1</v>
      </c>
      <c r="N444">
        <v>0</v>
      </c>
    </row>
    <row r="445" spans="1:14" x14ac:dyDescent="0.35">
      <c r="A445" t="s">
        <v>457</v>
      </c>
      <c r="B445" t="s">
        <v>957</v>
      </c>
      <c r="C445">
        <v>49</v>
      </c>
      <c r="D445" t="s">
        <v>1014</v>
      </c>
      <c r="E445" t="s">
        <v>1020</v>
      </c>
      <c r="F445" t="s">
        <v>1027</v>
      </c>
      <c r="G445" t="s">
        <v>1043</v>
      </c>
      <c r="H445" s="2">
        <v>45797</v>
      </c>
      <c r="I445" s="2">
        <v>45806</v>
      </c>
      <c r="J445">
        <v>247916</v>
      </c>
      <c r="K445">
        <v>5</v>
      </c>
      <c r="L445">
        <v>2</v>
      </c>
      <c r="M445">
        <v>2</v>
      </c>
      <c r="N445">
        <v>0</v>
      </c>
    </row>
    <row r="446" spans="1:14" x14ac:dyDescent="0.35">
      <c r="A446" t="s">
        <v>458</v>
      </c>
      <c r="B446" t="s">
        <v>958</v>
      </c>
      <c r="C446">
        <v>16</v>
      </c>
      <c r="D446" t="s">
        <v>1014</v>
      </c>
      <c r="E446" t="s">
        <v>1016</v>
      </c>
      <c r="F446" t="s">
        <v>1023</v>
      </c>
      <c r="G446" t="s">
        <v>1040</v>
      </c>
      <c r="H446" s="2">
        <v>45765</v>
      </c>
      <c r="I446" s="2">
        <v>45780</v>
      </c>
      <c r="J446">
        <v>232331</v>
      </c>
      <c r="K446">
        <v>1</v>
      </c>
      <c r="L446">
        <v>5</v>
      </c>
      <c r="M446">
        <v>1</v>
      </c>
      <c r="N446">
        <v>0</v>
      </c>
    </row>
    <row r="447" spans="1:14" x14ac:dyDescent="0.35">
      <c r="A447" t="s">
        <v>459</v>
      </c>
      <c r="B447" t="s">
        <v>959</v>
      </c>
      <c r="C447">
        <v>29</v>
      </c>
      <c r="D447" t="s">
        <v>1014</v>
      </c>
      <c r="E447" t="s">
        <v>1019</v>
      </c>
      <c r="F447" t="s">
        <v>1026</v>
      </c>
      <c r="G447" t="s">
        <v>1033</v>
      </c>
      <c r="H447" s="2">
        <v>45765</v>
      </c>
      <c r="I447" s="2">
        <v>45769</v>
      </c>
      <c r="J447">
        <v>431607</v>
      </c>
      <c r="K447">
        <v>8</v>
      </c>
      <c r="L447">
        <v>17</v>
      </c>
      <c r="M447">
        <v>1</v>
      </c>
      <c r="N447">
        <v>0</v>
      </c>
    </row>
    <row r="448" spans="1:14" x14ac:dyDescent="0.35">
      <c r="A448" t="s">
        <v>460</v>
      </c>
      <c r="B448" t="s">
        <v>960</v>
      </c>
      <c r="C448">
        <v>70</v>
      </c>
      <c r="D448" t="s">
        <v>1015</v>
      </c>
      <c r="E448" t="s">
        <v>1021</v>
      </c>
      <c r="F448" t="s">
        <v>1028</v>
      </c>
      <c r="G448" t="s">
        <v>1036</v>
      </c>
      <c r="H448" s="2">
        <v>45747</v>
      </c>
      <c r="I448" s="2">
        <v>45756</v>
      </c>
      <c r="J448">
        <v>403107</v>
      </c>
      <c r="K448">
        <v>9</v>
      </c>
      <c r="L448">
        <v>7</v>
      </c>
      <c r="M448">
        <v>1</v>
      </c>
      <c r="N448">
        <v>154326</v>
      </c>
    </row>
    <row r="449" spans="1:14" x14ac:dyDescent="0.35">
      <c r="A449" t="s">
        <v>461</v>
      </c>
      <c r="B449" t="s">
        <v>961</v>
      </c>
      <c r="C449">
        <v>59</v>
      </c>
      <c r="D449" t="s">
        <v>1015</v>
      </c>
      <c r="E449" t="s">
        <v>1022</v>
      </c>
      <c r="F449" t="s">
        <v>1029</v>
      </c>
      <c r="G449" t="s">
        <v>1039</v>
      </c>
      <c r="H449" s="2">
        <v>45780</v>
      </c>
      <c r="I449" s="2">
        <v>45785</v>
      </c>
      <c r="J449">
        <v>179767</v>
      </c>
      <c r="K449">
        <v>2</v>
      </c>
      <c r="L449">
        <v>11</v>
      </c>
      <c r="M449">
        <v>1</v>
      </c>
      <c r="N449">
        <v>0</v>
      </c>
    </row>
    <row r="450" spans="1:14" x14ac:dyDescent="0.35">
      <c r="A450" t="s">
        <v>462</v>
      </c>
      <c r="B450" t="s">
        <v>962</v>
      </c>
      <c r="C450">
        <v>15</v>
      </c>
      <c r="D450" t="s">
        <v>1014</v>
      </c>
      <c r="E450" t="s">
        <v>1021</v>
      </c>
      <c r="F450" t="s">
        <v>1028</v>
      </c>
      <c r="G450" t="s">
        <v>1036</v>
      </c>
      <c r="H450" s="2">
        <v>45800</v>
      </c>
      <c r="I450" s="2">
        <v>45805</v>
      </c>
      <c r="J450">
        <v>430121</v>
      </c>
      <c r="K450">
        <v>4</v>
      </c>
      <c r="L450">
        <v>16</v>
      </c>
      <c r="M450">
        <v>4</v>
      </c>
      <c r="N450">
        <v>297697</v>
      </c>
    </row>
    <row r="451" spans="1:14" x14ac:dyDescent="0.35">
      <c r="A451" t="s">
        <v>463</v>
      </c>
      <c r="B451" t="s">
        <v>963</v>
      </c>
      <c r="C451">
        <v>31</v>
      </c>
      <c r="D451" t="s">
        <v>1014</v>
      </c>
      <c r="E451" t="s">
        <v>1019</v>
      </c>
      <c r="F451" t="s">
        <v>1026</v>
      </c>
      <c r="G451" t="s">
        <v>1033</v>
      </c>
      <c r="H451" s="2">
        <v>45783</v>
      </c>
      <c r="I451" s="2">
        <v>45797</v>
      </c>
      <c r="J451">
        <v>58202</v>
      </c>
      <c r="K451">
        <v>7</v>
      </c>
      <c r="L451">
        <v>18</v>
      </c>
      <c r="M451">
        <v>3</v>
      </c>
      <c r="N451">
        <v>0</v>
      </c>
    </row>
    <row r="452" spans="1:14" x14ac:dyDescent="0.35">
      <c r="A452" t="s">
        <v>464</v>
      </c>
      <c r="B452" t="s">
        <v>964</v>
      </c>
      <c r="C452">
        <v>58</v>
      </c>
      <c r="D452" t="s">
        <v>1014</v>
      </c>
      <c r="E452" t="s">
        <v>1018</v>
      </c>
      <c r="F452" t="s">
        <v>1025</v>
      </c>
      <c r="G452" t="s">
        <v>1044</v>
      </c>
      <c r="H452" s="2">
        <v>45758</v>
      </c>
      <c r="I452" s="2">
        <v>45769</v>
      </c>
      <c r="J452">
        <v>67603</v>
      </c>
      <c r="K452">
        <v>9</v>
      </c>
      <c r="L452">
        <v>5</v>
      </c>
      <c r="M452">
        <v>2</v>
      </c>
      <c r="N452">
        <v>0</v>
      </c>
    </row>
    <row r="453" spans="1:14" x14ac:dyDescent="0.35">
      <c r="A453" t="s">
        <v>465</v>
      </c>
      <c r="B453" t="s">
        <v>965</v>
      </c>
      <c r="C453">
        <v>57</v>
      </c>
      <c r="D453" t="s">
        <v>1014</v>
      </c>
      <c r="E453" t="s">
        <v>1016</v>
      </c>
      <c r="F453" t="s">
        <v>1023</v>
      </c>
      <c r="G453" t="s">
        <v>1030</v>
      </c>
      <c r="H453" s="2">
        <v>45764</v>
      </c>
      <c r="I453" s="2">
        <v>45766</v>
      </c>
      <c r="J453">
        <v>260902</v>
      </c>
      <c r="K453">
        <v>6</v>
      </c>
      <c r="L453">
        <v>1</v>
      </c>
      <c r="M453">
        <v>3</v>
      </c>
      <c r="N453">
        <v>0</v>
      </c>
    </row>
    <row r="454" spans="1:14" x14ac:dyDescent="0.35">
      <c r="A454" t="s">
        <v>466</v>
      </c>
      <c r="B454" t="s">
        <v>966</v>
      </c>
      <c r="C454">
        <v>8</v>
      </c>
      <c r="D454" t="s">
        <v>1014</v>
      </c>
      <c r="E454" t="s">
        <v>1022</v>
      </c>
      <c r="F454" t="s">
        <v>1029</v>
      </c>
      <c r="G454" t="s">
        <v>1041</v>
      </c>
      <c r="H454" s="2">
        <v>45763</v>
      </c>
      <c r="I454" s="2">
        <v>45778</v>
      </c>
      <c r="J454">
        <v>456880</v>
      </c>
      <c r="K454">
        <v>7</v>
      </c>
      <c r="L454">
        <v>13</v>
      </c>
      <c r="M454">
        <v>3</v>
      </c>
      <c r="N454">
        <v>0</v>
      </c>
    </row>
    <row r="455" spans="1:14" x14ac:dyDescent="0.35">
      <c r="A455" t="s">
        <v>467</v>
      </c>
      <c r="B455" t="s">
        <v>967</v>
      </c>
      <c r="C455">
        <v>74</v>
      </c>
      <c r="D455" t="s">
        <v>1015</v>
      </c>
      <c r="E455" t="s">
        <v>1017</v>
      </c>
      <c r="F455" t="s">
        <v>1024</v>
      </c>
      <c r="G455" t="s">
        <v>1031</v>
      </c>
      <c r="H455" s="2">
        <v>45802</v>
      </c>
      <c r="I455" s="2">
        <v>45817</v>
      </c>
      <c r="J455">
        <v>433525</v>
      </c>
      <c r="K455">
        <v>5</v>
      </c>
      <c r="L455">
        <v>11</v>
      </c>
      <c r="M455">
        <v>4</v>
      </c>
      <c r="N455">
        <v>0</v>
      </c>
    </row>
    <row r="456" spans="1:14" x14ac:dyDescent="0.35">
      <c r="A456" t="s">
        <v>468</v>
      </c>
      <c r="B456" t="s">
        <v>968</v>
      </c>
      <c r="C456">
        <v>85</v>
      </c>
      <c r="D456" t="s">
        <v>1014</v>
      </c>
      <c r="E456" t="s">
        <v>1017</v>
      </c>
      <c r="F456" t="s">
        <v>1024</v>
      </c>
      <c r="G456" t="s">
        <v>1031</v>
      </c>
      <c r="H456" s="2">
        <v>45793</v>
      </c>
      <c r="I456" s="2">
        <v>45799</v>
      </c>
      <c r="J456">
        <v>125109</v>
      </c>
      <c r="K456">
        <v>5</v>
      </c>
      <c r="L456">
        <v>3</v>
      </c>
      <c r="M456">
        <v>4</v>
      </c>
      <c r="N456">
        <v>0</v>
      </c>
    </row>
    <row r="457" spans="1:14" x14ac:dyDescent="0.35">
      <c r="A457" t="s">
        <v>469</v>
      </c>
      <c r="B457" t="s">
        <v>969</v>
      </c>
      <c r="C457">
        <v>72</v>
      </c>
      <c r="D457" t="s">
        <v>1014</v>
      </c>
      <c r="E457" t="s">
        <v>1021</v>
      </c>
      <c r="F457" t="s">
        <v>1028</v>
      </c>
      <c r="G457" t="s">
        <v>1036</v>
      </c>
      <c r="H457" s="2">
        <v>45756</v>
      </c>
      <c r="I457" s="2">
        <v>45762</v>
      </c>
      <c r="J457">
        <v>81959</v>
      </c>
      <c r="K457">
        <v>9</v>
      </c>
      <c r="L457">
        <v>12</v>
      </c>
      <c r="M457">
        <v>3</v>
      </c>
      <c r="N457">
        <v>110999</v>
      </c>
    </row>
    <row r="458" spans="1:14" x14ac:dyDescent="0.35">
      <c r="A458" t="s">
        <v>470</v>
      </c>
      <c r="B458" t="s">
        <v>970</v>
      </c>
      <c r="C458">
        <v>45</v>
      </c>
      <c r="D458" t="s">
        <v>1015</v>
      </c>
      <c r="E458" t="s">
        <v>1019</v>
      </c>
      <c r="F458" t="s">
        <v>1026</v>
      </c>
      <c r="G458" t="s">
        <v>1038</v>
      </c>
      <c r="H458" s="2">
        <v>45799</v>
      </c>
      <c r="I458" s="2">
        <v>45808</v>
      </c>
      <c r="J458">
        <v>74580</v>
      </c>
      <c r="K458">
        <v>7</v>
      </c>
      <c r="L458">
        <v>8</v>
      </c>
      <c r="M458">
        <v>4</v>
      </c>
      <c r="N458">
        <v>0</v>
      </c>
    </row>
    <row r="459" spans="1:14" x14ac:dyDescent="0.35">
      <c r="A459" t="s">
        <v>471</v>
      </c>
      <c r="B459" t="s">
        <v>971</v>
      </c>
      <c r="C459">
        <v>20</v>
      </c>
      <c r="D459" t="s">
        <v>1015</v>
      </c>
      <c r="E459" t="s">
        <v>1016</v>
      </c>
      <c r="F459" t="s">
        <v>1023</v>
      </c>
      <c r="G459" t="s">
        <v>1040</v>
      </c>
      <c r="H459" s="2">
        <v>45774</v>
      </c>
      <c r="I459" s="2">
        <v>45782</v>
      </c>
      <c r="J459">
        <v>264045</v>
      </c>
      <c r="K459">
        <v>3</v>
      </c>
      <c r="L459">
        <v>3</v>
      </c>
      <c r="M459">
        <v>1</v>
      </c>
      <c r="N459">
        <v>0</v>
      </c>
    </row>
    <row r="460" spans="1:14" x14ac:dyDescent="0.35">
      <c r="A460" t="s">
        <v>472</v>
      </c>
      <c r="B460" t="s">
        <v>972</v>
      </c>
      <c r="C460">
        <v>61</v>
      </c>
      <c r="D460" t="s">
        <v>1014</v>
      </c>
      <c r="E460" t="s">
        <v>1017</v>
      </c>
      <c r="F460" t="s">
        <v>1024</v>
      </c>
      <c r="G460" t="s">
        <v>1042</v>
      </c>
      <c r="H460" s="2">
        <v>45781</v>
      </c>
      <c r="I460" s="2">
        <v>45795</v>
      </c>
      <c r="J460">
        <v>332029</v>
      </c>
      <c r="K460">
        <v>5</v>
      </c>
      <c r="L460">
        <v>18</v>
      </c>
      <c r="M460">
        <v>4</v>
      </c>
      <c r="N460">
        <v>0</v>
      </c>
    </row>
    <row r="461" spans="1:14" x14ac:dyDescent="0.35">
      <c r="A461" t="s">
        <v>473</v>
      </c>
      <c r="B461" t="s">
        <v>973</v>
      </c>
      <c r="C461">
        <v>19</v>
      </c>
      <c r="D461" t="s">
        <v>1015</v>
      </c>
      <c r="E461" t="s">
        <v>1021</v>
      </c>
      <c r="F461" t="s">
        <v>1028</v>
      </c>
      <c r="G461" t="s">
        <v>1035</v>
      </c>
      <c r="H461" s="2">
        <v>45774</v>
      </c>
      <c r="I461" s="2">
        <v>45789</v>
      </c>
      <c r="J461">
        <v>420974</v>
      </c>
      <c r="K461">
        <v>2</v>
      </c>
      <c r="L461">
        <v>19</v>
      </c>
      <c r="M461">
        <v>3</v>
      </c>
      <c r="N461">
        <v>152301</v>
      </c>
    </row>
    <row r="462" spans="1:14" x14ac:dyDescent="0.35">
      <c r="A462" t="s">
        <v>474</v>
      </c>
      <c r="B462" t="s">
        <v>974</v>
      </c>
      <c r="C462">
        <v>72</v>
      </c>
      <c r="D462" t="s">
        <v>1014</v>
      </c>
      <c r="E462" t="s">
        <v>1019</v>
      </c>
      <c r="F462" t="s">
        <v>1026</v>
      </c>
      <c r="G462" t="s">
        <v>1038</v>
      </c>
      <c r="H462" s="2">
        <v>45773</v>
      </c>
      <c r="I462" s="2">
        <v>45781</v>
      </c>
      <c r="J462">
        <v>268370</v>
      </c>
      <c r="K462">
        <v>7</v>
      </c>
      <c r="L462">
        <v>9</v>
      </c>
      <c r="M462">
        <v>2</v>
      </c>
      <c r="N462">
        <v>0</v>
      </c>
    </row>
    <row r="463" spans="1:14" x14ac:dyDescent="0.35">
      <c r="A463" t="s">
        <v>475</v>
      </c>
      <c r="B463" t="s">
        <v>975</v>
      </c>
      <c r="C463">
        <v>43</v>
      </c>
      <c r="D463" t="s">
        <v>1014</v>
      </c>
      <c r="E463" t="s">
        <v>1017</v>
      </c>
      <c r="F463" t="s">
        <v>1024</v>
      </c>
      <c r="G463" t="s">
        <v>1031</v>
      </c>
      <c r="H463" s="2">
        <v>45802</v>
      </c>
      <c r="I463" s="2">
        <v>45808</v>
      </c>
      <c r="J463">
        <v>156607</v>
      </c>
      <c r="K463">
        <v>3</v>
      </c>
      <c r="L463">
        <v>1</v>
      </c>
      <c r="M463">
        <v>3</v>
      </c>
      <c r="N463">
        <v>0</v>
      </c>
    </row>
    <row r="464" spans="1:14" x14ac:dyDescent="0.35">
      <c r="A464" t="s">
        <v>476</v>
      </c>
      <c r="B464" t="s">
        <v>976</v>
      </c>
      <c r="C464">
        <v>69</v>
      </c>
      <c r="D464" t="s">
        <v>1014</v>
      </c>
      <c r="E464" t="s">
        <v>1022</v>
      </c>
      <c r="F464" t="s">
        <v>1029</v>
      </c>
      <c r="G464" t="s">
        <v>1039</v>
      </c>
      <c r="H464" s="2">
        <v>45768</v>
      </c>
      <c r="I464" s="2">
        <v>45775</v>
      </c>
      <c r="J464">
        <v>98477</v>
      </c>
      <c r="K464">
        <v>6</v>
      </c>
      <c r="L464">
        <v>2</v>
      </c>
      <c r="M464">
        <v>3</v>
      </c>
      <c r="N464">
        <v>0</v>
      </c>
    </row>
    <row r="465" spans="1:14" x14ac:dyDescent="0.35">
      <c r="A465" t="s">
        <v>477</v>
      </c>
      <c r="B465" t="s">
        <v>977</v>
      </c>
      <c r="C465">
        <v>78</v>
      </c>
      <c r="D465" t="s">
        <v>1014</v>
      </c>
      <c r="E465" t="s">
        <v>1021</v>
      </c>
      <c r="F465" t="s">
        <v>1028</v>
      </c>
      <c r="G465" t="s">
        <v>1035</v>
      </c>
      <c r="H465" s="2">
        <v>45798</v>
      </c>
      <c r="I465" s="2">
        <v>45806</v>
      </c>
      <c r="J465">
        <v>403198</v>
      </c>
      <c r="K465">
        <v>3</v>
      </c>
      <c r="L465">
        <v>9</v>
      </c>
      <c r="M465">
        <v>3</v>
      </c>
      <c r="N465">
        <v>272362</v>
      </c>
    </row>
    <row r="466" spans="1:14" x14ac:dyDescent="0.35">
      <c r="A466" t="s">
        <v>478</v>
      </c>
      <c r="B466" t="s">
        <v>978</v>
      </c>
      <c r="C466">
        <v>76</v>
      </c>
      <c r="D466" t="s">
        <v>1014</v>
      </c>
      <c r="E466" t="s">
        <v>1017</v>
      </c>
      <c r="F466" t="s">
        <v>1024</v>
      </c>
      <c r="G466" t="s">
        <v>1031</v>
      </c>
      <c r="H466" s="2">
        <v>45773</v>
      </c>
      <c r="I466" s="2">
        <v>45787</v>
      </c>
      <c r="J466">
        <v>449348</v>
      </c>
      <c r="K466">
        <v>4</v>
      </c>
      <c r="L466">
        <v>10</v>
      </c>
      <c r="M466">
        <v>1</v>
      </c>
      <c r="N466">
        <v>0</v>
      </c>
    </row>
    <row r="467" spans="1:14" x14ac:dyDescent="0.35">
      <c r="A467" t="s">
        <v>479</v>
      </c>
      <c r="B467" t="s">
        <v>979</v>
      </c>
      <c r="C467">
        <v>39</v>
      </c>
      <c r="D467" t="s">
        <v>1014</v>
      </c>
      <c r="E467" t="s">
        <v>1017</v>
      </c>
      <c r="F467" t="s">
        <v>1024</v>
      </c>
      <c r="G467" t="s">
        <v>1042</v>
      </c>
      <c r="H467" s="2">
        <v>45755</v>
      </c>
      <c r="I467" s="2">
        <v>45770</v>
      </c>
      <c r="J467">
        <v>224569</v>
      </c>
      <c r="K467">
        <v>6</v>
      </c>
      <c r="L467">
        <v>4</v>
      </c>
      <c r="M467">
        <v>3</v>
      </c>
      <c r="N467">
        <v>0</v>
      </c>
    </row>
    <row r="468" spans="1:14" x14ac:dyDescent="0.35">
      <c r="A468" t="s">
        <v>480</v>
      </c>
      <c r="B468" t="s">
        <v>980</v>
      </c>
      <c r="C468">
        <v>62</v>
      </c>
      <c r="D468" t="s">
        <v>1014</v>
      </c>
      <c r="E468" t="s">
        <v>1017</v>
      </c>
      <c r="F468" t="s">
        <v>1024</v>
      </c>
      <c r="G468" t="s">
        <v>1042</v>
      </c>
      <c r="H468" s="2">
        <v>45759</v>
      </c>
      <c r="I468" s="2">
        <v>45772</v>
      </c>
      <c r="J468">
        <v>111507</v>
      </c>
      <c r="K468">
        <v>8</v>
      </c>
      <c r="L468">
        <v>8</v>
      </c>
      <c r="M468">
        <v>3</v>
      </c>
      <c r="N468">
        <v>0</v>
      </c>
    </row>
    <row r="469" spans="1:14" x14ac:dyDescent="0.35">
      <c r="A469" t="s">
        <v>481</v>
      </c>
      <c r="B469" t="s">
        <v>981</v>
      </c>
      <c r="C469">
        <v>42</v>
      </c>
      <c r="D469" t="s">
        <v>1015</v>
      </c>
      <c r="E469" t="s">
        <v>1020</v>
      </c>
      <c r="F469" t="s">
        <v>1027</v>
      </c>
      <c r="G469" t="s">
        <v>1034</v>
      </c>
      <c r="H469" s="2">
        <v>45754</v>
      </c>
      <c r="I469" s="2">
        <v>45759</v>
      </c>
      <c r="J469">
        <v>339448</v>
      </c>
      <c r="K469">
        <v>2</v>
      </c>
      <c r="L469">
        <v>1</v>
      </c>
      <c r="M469">
        <v>3</v>
      </c>
      <c r="N469">
        <v>0</v>
      </c>
    </row>
    <row r="470" spans="1:14" x14ac:dyDescent="0.35">
      <c r="A470" t="s">
        <v>482</v>
      </c>
      <c r="B470" t="s">
        <v>982</v>
      </c>
      <c r="C470">
        <v>46</v>
      </c>
      <c r="D470" t="s">
        <v>1015</v>
      </c>
      <c r="E470" t="s">
        <v>1020</v>
      </c>
      <c r="F470" t="s">
        <v>1027</v>
      </c>
      <c r="G470" t="s">
        <v>1034</v>
      </c>
      <c r="H470" s="2">
        <v>45771</v>
      </c>
      <c r="I470" s="2">
        <v>45781</v>
      </c>
      <c r="J470">
        <v>390116</v>
      </c>
      <c r="K470">
        <v>8</v>
      </c>
      <c r="L470">
        <v>3</v>
      </c>
      <c r="M470">
        <v>3</v>
      </c>
      <c r="N470">
        <v>0</v>
      </c>
    </row>
    <row r="471" spans="1:14" x14ac:dyDescent="0.35">
      <c r="A471" t="s">
        <v>483</v>
      </c>
      <c r="B471" t="s">
        <v>983</v>
      </c>
      <c r="C471">
        <v>60</v>
      </c>
      <c r="D471" t="s">
        <v>1014</v>
      </c>
      <c r="E471" t="s">
        <v>1021</v>
      </c>
      <c r="F471" t="s">
        <v>1028</v>
      </c>
      <c r="G471" t="s">
        <v>1036</v>
      </c>
      <c r="H471" s="2">
        <v>45801</v>
      </c>
      <c r="I471" s="2">
        <v>45811</v>
      </c>
      <c r="J471">
        <v>310716</v>
      </c>
      <c r="K471">
        <v>6</v>
      </c>
      <c r="L471">
        <v>4</v>
      </c>
      <c r="M471">
        <v>3</v>
      </c>
      <c r="N471">
        <v>208446</v>
      </c>
    </row>
    <row r="472" spans="1:14" x14ac:dyDescent="0.35">
      <c r="A472" t="s">
        <v>484</v>
      </c>
      <c r="B472" t="s">
        <v>984</v>
      </c>
      <c r="C472">
        <v>27</v>
      </c>
      <c r="D472" t="s">
        <v>1015</v>
      </c>
      <c r="E472" t="s">
        <v>1022</v>
      </c>
      <c r="F472" t="s">
        <v>1029</v>
      </c>
      <c r="G472" t="s">
        <v>1041</v>
      </c>
      <c r="H472" s="2">
        <v>45770</v>
      </c>
      <c r="I472" s="2">
        <v>45785</v>
      </c>
      <c r="J472">
        <v>217894</v>
      </c>
      <c r="K472">
        <v>7</v>
      </c>
      <c r="L472">
        <v>1</v>
      </c>
      <c r="M472">
        <v>1</v>
      </c>
      <c r="N472">
        <v>0</v>
      </c>
    </row>
    <row r="473" spans="1:14" x14ac:dyDescent="0.35">
      <c r="A473" t="s">
        <v>485</v>
      </c>
      <c r="B473" t="s">
        <v>985</v>
      </c>
      <c r="C473">
        <v>29</v>
      </c>
      <c r="D473" t="s">
        <v>1014</v>
      </c>
      <c r="E473" t="s">
        <v>1020</v>
      </c>
      <c r="F473" t="s">
        <v>1027</v>
      </c>
      <c r="G473" t="s">
        <v>1043</v>
      </c>
      <c r="H473" s="2">
        <v>45771</v>
      </c>
      <c r="I473" s="2">
        <v>45773</v>
      </c>
      <c r="J473">
        <v>344924</v>
      </c>
      <c r="K473">
        <v>5</v>
      </c>
      <c r="L473">
        <v>9</v>
      </c>
      <c r="M473">
        <v>3</v>
      </c>
      <c r="N473">
        <v>0</v>
      </c>
    </row>
    <row r="474" spans="1:14" x14ac:dyDescent="0.35">
      <c r="A474" t="s">
        <v>486</v>
      </c>
      <c r="B474" t="s">
        <v>986</v>
      </c>
      <c r="C474">
        <v>75</v>
      </c>
      <c r="D474" t="s">
        <v>1015</v>
      </c>
      <c r="E474" t="s">
        <v>1021</v>
      </c>
      <c r="F474" t="s">
        <v>1028</v>
      </c>
      <c r="G474" t="s">
        <v>1036</v>
      </c>
      <c r="H474" s="2">
        <v>45759</v>
      </c>
      <c r="I474" s="2">
        <v>45769</v>
      </c>
      <c r="J474">
        <v>356200</v>
      </c>
      <c r="K474">
        <v>5</v>
      </c>
      <c r="L474">
        <v>13</v>
      </c>
      <c r="M474">
        <v>3</v>
      </c>
      <c r="N474">
        <v>222741</v>
      </c>
    </row>
    <row r="475" spans="1:14" x14ac:dyDescent="0.35">
      <c r="A475" t="s">
        <v>487</v>
      </c>
      <c r="B475" t="s">
        <v>987</v>
      </c>
      <c r="C475">
        <v>30</v>
      </c>
      <c r="D475" t="s">
        <v>1015</v>
      </c>
      <c r="E475" t="s">
        <v>1017</v>
      </c>
      <c r="F475" t="s">
        <v>1024</v>
      </c>
      <c r="G475" t="s">
        <v>1042</v>
      </c>
      <c r="H475" s="2">
        <v>45762</v>
      </c>
      <c r="I475" s="2">
        <v>45767</v>
      </c>
      <c r="J475">
        <v>222944</v>
      </c>
      <c r="K475">
        <v>7</v>
      </c>
      <c r="L475">
        <v>19</v>
      </c>
      <c r="M475">
        <v>4</v>
      </c>
      <c r="N475">
        <v>0</v>
      </c>
    </row>
    <row r="476" spans="1:14" x14ac:dyDescent="0.35">
      <c r="A476" t="s">
        <v>488</v>
      </c>
      <c r="B476" t="s">
        <v>988</v>
      </c>
      <c r="C476">
        <v>88</v>
      </c>
      <c r="D476" t="s">
        <v>1015</v>
      </c>
      <c r="E476" t="s">
        <v>1020</v>
      </c>
      <c r="F476" t="s">
        <v>1027</v>
      </c>
      <c r="G476" t="s">
        <v>1034</v>
      </c>
      <c r="H476" s="2">
        <v>45764</v>
      </c>
      <c r="I476" s="2">
        <v>45774</v>
      </c>
      <c r="J476">
        <v>393203</v>
      </c>
      <c r="K476">
        <v>3</v>
      </c>
      <c r="L476">
        <v>18</v>
      </c>
      <c r="M476">
        <v>3</v>
      </c>
      <c r="N476">
        <v>0</v>
      </c>
    </row>
    <row r="477" spans="1:14" x14ac:dyDescent="0.35">
      <c r="A477" t="s">
        <v>489</v>
      </c>
      <c r="B477" t="s">
        <v>989</v>
      </c>
      <c r="C477">
        <v>83</v>
      </c>
      <c r="D477" t="s">
        <v>1015</v>
      </c>
      <c r="E477" t="s">
        <v>1022</v>
      </c>
      <c r="F477" t="s">
        <v>1029</v>
      </c>
      <c r="G477" t="s">
        <v>1041</v>
      </c>
      <c r="H477" s="2">
        <v>45790</v>
      </c>
      <c r="I477" s="2">
        <v>45805</v>
      </c>
      <c r="J477">
        <v>306178</v>
      </c>
      <c r="K477">
        <v>6</v>
      </c>
      <c r="L477">
        <v>18</v>
      </c>
      <c r="M477">
        <v>4</v>
      </c>
      <c r="N477">
        <v>0</v>
      </c>
    </row>
    <row r="478" spans="1:14" x14ac:dyDescent="0.35">
      <c r="A478" t="s">
        <v>490</v>
      </c>
      <c r="B478" t="s">
        <v>990</v>
      </c>
      <c r="C478">
        <v>46</v>
      </c>
      <c r="D478" t="s">
        <v>1014</v>
      </c>
      <c r="E478" t="s">
        <v>1017</v>
      </c>
      <c r="F478" t="s">
        <v>1024</v>
      </c>
      <c r="G478" t="s">
        <v>1042</v>
      </c>
      <c r="H478" s="2">
        <v>45781</v>
      </c>
      <c r="I478" s="2">
        <v>45794</v>
      </c>
      <c r="J478">
        <v>466796</v>
      </c>
      <c r="K478">
        <v>1</v>
      </c>
      <c r="L478">
        <v>12</v>
      </c>
      <c r="M478">
        <v>4</v>
      </c>
      <c r="N478">
        <v>0</v>
      </c>
    </row>
    <row r="479" spans="1:14" x14ac:dyDescent="0.35">
      <c r="A479" t="s">
        <v>491</v>
      </c>
      <c r="B479" t="s">
        <v>991</v>
      </c>
      <c r="C479">
        <v>24</v>
      </c>
      <c r="D479" t="s">
        <v>1014</v>
      </c>
      <c r="E479" t="s">
        <v>1016</v>
      </c>
      <c r="F479" t="s">
        <v>1023</v>
      </c>
      <c r="G479" t="s">
        <v>1030</v>
      </c>
      <c r="H479" s="2">
        <v>45762</v>
      </c>
      <c r="I479" s="2">
        <v>45772</v>
      </c>
      <c r="J479">
        <v>306018</v>
      </c>
      <c r="K479">
        <v>7</v>
      </c>
      <c r="L479">
        <v>7</v>
      </c>
      <c r="M479">
        <v>4</v>
      </c>
      <c r="N479">
        <v>0</v>
      </c>
    </row>
    <row r="480" spans="1:14" x14ac:dyDescent="0.35">
      <c r="A480" t="s">
        <v>492</v>
      </c>
      <c r="B480" t="s">
        <v>992</v>
      </c>
      <c r="C480">
        <v>86</v>
      </c>
      <c r="D480" t="s">
        <v>1014</v>
      </c>
      <c r="E480" t="s">
        <v>1022</v>
      </c>
      <c r="F480" t="s">
        <v>1029</v>
      </c>
      <c r="G480" t="s">
        <v>1039</v>
      </c>
      <c r="H480" s="2">
        <v>45746</v>
      </c>
      <c r="I480" s="2">
        <v>45761</v>
      </c>
      <c r="J480">
        <v>88970</v>
      </c>
      <c r="K480">
        <v>3</v>
      </c>
      <c r="L480">
        <v>13</v>
      </c>
      <c r="M480">
        <v>2</v>
      </c>
      <c r="N480">
        <v>0</v>
      </c>
    </row>
    <row r="481" spans="1:14" x14ac:dyDescent="0.35">
      <c r="A481" t="s">
        <v>493</v>
      </c>
      <c r="B481" t="s">
        <v>993</v>
      </c>
      <c r="C481">
        <v>81</v>
      </c>
      <c r="D481" t="s">
        <v>1014</v>
      </c>
      <c r="E481" t="s">
        <v>1020</v>
      </c>
      <c r="F481" t="s">
        <v>1027</v>
      </c>
      <c r="G481" t="s">
        <v>1043</v>
      </c>
      <c r="H481" s="2">
        <v>45802</v>
      </c>
      <c r="I481" s="2">
        <v>45806</v>
      </c>
      <c r="J481">
        <v>491736</v>
      </c>
      <c r="K481">
        <v>9</v>
      </c>
      <c r="L481">
        <v>8</v>
      </c>
      <c r="M481">
        <v>4</v>
      </c>
      <c r="N481">
        <v>0</v>
      </c>
    </row>
    <row r="482" spans="1:14" x14ac:dyDescent="0.35">
      <c r="A482" t="s">
        <v>494</v>
      </c>
      <c r="B482" t="s">
        <v>994</v>
      </c>
      <c r="C482">
        <v>28</v>
      </c>
      <c r="D482" t="s">
        <v>1015</v>
      </c>
      <c r="E482" t="s">
        <v>1016</v>
      </c>
      <c r="F482" t="s">
        <v>1023</v>
      </c>
      <c r="G482" t="s">
        <v>1040</v>
      </c>
      <c r="H482" s="2">
        <v>45801</v>
      </c>
      <c r="I482" s="2">
        <v>45805</v>
      </c>
      <c r="J482">
        <v>54792</v>
      </c>
      <c r="K482">
        <v>6</v>
      </c>
      <c r="L482">
        <v>10</v>
      </c>
      <c r="M482">
        <v>3</v>
      </c>
      <c r="N482">
        <v>0</v>
      </c>
    </row>
    <row r="483" spans="1:14" x14ac:dyDescent="0.35">
      <c r="A483" t="s">
        <v>495</v>
      </c>
      <c r="B483" t="s">
        <v>995</v>
      </c>
      <c r="C483">
        <v>86</v>
      </c>
      <c r="D483" t="s">
        <v>1015</v>
      </c>
      <c r="E483" t="s">
        <v>1018</v>
      </c>
      <c r="F483" t="s">
        <v>1025</v>
      </c>
      <c r="G483" t="s">
        <v>1032</v>
      </c>
      <c r="H483" s="2">
        <v>45770</v>
      </c>
      <c r="I483" s="2">
        <v>45781</v>
      </c>
      <c r="J483">
        <v>384353</v>
      </c>
      <c r="K483">
        <v>8</v>
      </c>
      <c r="L483">
        <v>12</v>
      </c>
      <c r="M483">
        <v>2</v>
      </c>
      <c r="N483">
        <v>0</v>
      </c>
    </row>
    <row r="484" spans="1:14" x14ac:dyDescent="0.35">
      <c r="A484" t="s">
        <v>496</v>
      </c>
      <c r="B484" t="s">
        <v>996</v>
      </c>
      <c r="C484">
        <v>69</v>
      </c>
      <c r="D484" t="s">
        <v>1015</v>
      </c>
      <c r="E484" t="s">
        <v>1020</v>
      </c>
      <c r="F484" t="s">
        <v>1027</v>
      </c>
      <c r="G484" t="s">
        <v>1043</v>
      </c>
      <c r="H484" s="2">
        <v>45790</v>
      </c>
      <c r="I484" s="2">
        <v>45792</v>
      </c>
      <c r="J484">
        <v>53466</v>
      </c>
      <c r="K484">
        <v>8</v>
      </c>
      <c r="L484">
        <v>5</v>
      </c>
      <c r="M484">
        <v>4</v>
      </c>
      <c r="N484">
        <v>0</v>
      </c>
    </row>
    <row r="485" spans="1:14" x14ac:dyDescent="0.35">
      <c r="A485" t="s">
        <v>497</v>
      </c>
      <c r="B485" t="s">
        <v>997</v>
      </c>
      <c r="C485">
        <v>36</v>
      </c>
      <c r="D485" t="s">
        <v>1015</v>
      </c>
      <c r="E485" t="s">
        <v>1018</v>
      </c>
      <c r="F485" t="s">
        <v>1025</v>
      </c>
      <c r="G485" t="s">
        <v>1044</v>
      </c>
      <c r="H485" s="2">
        <v>45769</v>
      </c>
      <c r="I485" s="2">
        <v>45779</v>
      </c>
      <c r="J485">
        <v>428636</v>
      </c>
      <c r="K485">
        <v>3</v>
      </c>
      <c r="L485">
        <v>1</v>
      </c>
      <c r="M485">
        <v>2</v>
      </c>
      <c r="N485">
        <v>0</v>
      </c>
    </row>
    <row r="486" spans="1:14" x14ac:dyDescent="0.35">
      <c r="A486" t="s">
        <v>498</v>
      </c>
      <c r="B486" t="s">
        <v>998</v>
      </c>
      <c r="C486">
        <v>87</v>
      </c>
      <c r="D486" t="s">
        <v>1015</v>
      </c>
      <c r="E486" t="s">
        <v>1019</v>
      </c>
      <c r="F486" t="s">
        <v>1026</v>
      </c>
      <c r="G486" t="s">
        <v>1033</v>
      </c>
      <c r="H486" s="2">
        <v>45790</v>
      </c>
      <c r="I486" s="2">
        <v>45805</v>
      </c>
      <c r="J486">
        <v>415879</v>
      </c>
      <c r="K486">
        <v>8</v>
      </c>
      <c r="L486">
        <v>5</v>
      </c>
      <c r="M486">
        <v>2</v>
      </c>
      <c r="N486">
        <v>0</v>
      </c>
    </row>
    <row r="487" spans="1:14" x14ac:dyDescent="0.35">
      <c r="A487" t="s">
        <v>499</v>
      </c>
      <c r="B487" t="s">
        <v>999</v>
      </c>
      <c r="C487">
        <v>20</v>
      </c>
      <c r="D487" t="s">
        <v>1014</v>
      </c>
      <c r="E487" t="s">
        <v>1018</v>
      </c>
      <c r="F487" t="s">
        <v>1025</v>
      </c>
      <c r="G487" t="s">
        <v>1044</v>
      </c>
      <c r="H487" s="2">
        <v>45770</v>
      </c>
      <c r="I487" s="2">
        <v>45773</v>
      </c>
      <c r="J487">
        <v>324928</v>
      </c>
      <c r="K487">
        <v>4</v>
      </c>
      <c r="L487">
        <v>5</v>
      </c>
      <c r="M487">
        <v>2</v>
      </c>
      <c r="N487">
        <v>0</v>
      </c>
    </row>
    <row r="488" spans="1:14" x14ac:dyDescent="0.35">
      <c r="A488" t="s">
        <v>500</v>
      </c>
      <c r="B488" t="s">
        <v>1000</v>
      </c>
      <c r="C488">
        <v>46</v>
      </c>
      <c r="D488" t="s">
        <v>1015</v>
      </c>
      <c r="E488" t="s">
        <v>1019</v>
      </c>
      <c r="F488" t="s">
        <v>1026</v>
      </c>
      <c r="G488" t="s">
        <v>1038</v>
      </c>
      <c r="H488" s="2">
        <v>45783</v>
      </c>
      <c r="I488" s="2">
        <v>45793</v>
      </c>
      <c r="J488">
        <v>182339</v>
      </c>
      <c r="K488">
        <v>5</v>
      </c>
      <c r="L488">
        <v>15</v>
      </c>
      <c r="M488">
        <v>3</v>
      </c>
      <c r="N488">
        <v>0</v>
      </c>
    </row>
    <row r="489" spans="1:14" x14ac:dyDescent="0.35">
      <c r="A489" t="s">
        <v>501</v>
      </c>
      <c r="B489" t="s">
        <v>1001</v>
      </c>
      <c r="C489">
        <v>59</v>
      </c>
      <c r="D489" t="s">
        <v>1014</v>
      </c>
      <c r="E489" t="s">
        <v>1018</v>
      </c>
      <c r="F489" t="s">
        <v>1025</v>
      </c>
      <c r="G489" t="s">
        <v>1032</v>
      </c>
      <c r="H489" s="2">
        <v>45781</v>
      </c>
      <c r="I489" s="2">
        <v>45788</v>
      </c>
      <c r="J489">
        <v>262875</v>
      </c>
      <c r="K489">
        <v>8</v>
      </c>
      <c r="L489">
        <v>5</v>
      </c>
      <c r="M489">
        <v>3</v>
      </c>
      <c r="N489">
        <v>0</v>
      </c>
    </row>
    <row r="490" spans="1:14" x14ac:dyDescent="0.35">
      <c r="A490" t="s">
        <v>502</v>
      </c>
      <c r="B490" t="s">
        <v>1002</v>
      </c>
      <c r="C490">
        <v>11</v>
      </c>
      <c r="D490" t="s">
        <v>1014</v>
      </c>
      <c r="E490" t="s">
        <v>1017</v>
      </c>
      <c r="F490" t="s">
        <v>1024</v>
      </c>
      <c r="G490" t="s">
        <v>1042</v>
      </c>
      <c r="H490" s="2">
        <v>45752</v>
      </c>
      <c r="I490" s="2">
        <v>45758</v>
      </c>
      <c r="J490">
        <v>408634</v>
      </c>
      <c r="K490">
        <v>3</v>
      </c>
      <c r="L490">
        <v>7</v>
      </c>
      <c r="M490">
        <v>4</v>
      </c>
      <c r="N490">
        <v>0</v>
      </c>
    </row>
    <row r="491" spans="1:14" x14ac:dyDescent="0.35">
      <c r="A491" t="s">
        <v>503</v>
      </c>
      <c r="B491" t="s">
        <v>1003</v>
      </c>
      <c r="C491">
        <v>71</v>
      </c>
      <c r="D491" t="s">
        <v>1015</v>
      </c>
      <c r="E491" t="s">
        <v>1020</v>
      </c>
      <c r="F491" t="s">
        <v>1027</v>
      </c>
      <c r="G491" t="s">
        <v>1043</v>
      </c>
      <c r="H491" s="2">
        <v>45795</v>
      </c>
      <c r="I491" s="2">
        <v>45803</v>
      </c>
      <c r="J491">
        <v>247745</v>
      </c>
      <c r="K491">
        <v>6</v>
      </c>
      <c r="L491">
        <v>10</v>
      </c>
      <c r="M491">
        <v>4</v>
      </c>
      <c r="N491">
        <v>0</v>
      </c>
    </row>
    <row r="492" spans="1:14" x14ac:dyDescent="0.35">
      <c r="A492" t="s">
        <v>504</v>
      </c>
      <c r="B492" t="s">
        <v>1004</v>
      </c>
      <c r="C492">
        <v>22</v>
      </c>
      <c r="D492" t="s">
        <v>1014</v>
      </c>
      <c r="E492" t="s">
        <v>1016</v>
      </c>
      <c r="F492" t="s">
        <v>1023</v>
      </c>
      <c r="G492" t="s">
        <v>1040</v>
      </c>
      <c r="H492" s="2">
        <v>45772</v>
      </c>
      <c r="I492" s="2">
        <v>45774</v>
      </c>
      <c r="J492">
        <v>418493</v>
      </c>
      <c r="K492">
        <v>1</v>
      </c>
      <c r="L492">
        <v>4</v>
      </c>
      <c r="M492">
        <v>3</v>
      </c>
      <c r="N492">
        <v>0</v>
      </c>
    </row>
    <row r="493" spans="1:14" x14ac:dyDescent="0.35">
      <c r="A493" t="s">
        <v>505</v>
      </c>
      <c r="B493" t="s">
        <v>1005</v>
      </c>
      <c r="C493">
        <v>43</v>
      </c>
      <c r="D493" t="s">
        <v>1014</v>
      </c>
      <c r="E493" t="s">
        <v>1022</v>
      </c>
      <c r="F493" t="s">
        <v>1029</v>
      </c>
      <c r="G493" t="s">
        <v>1039</v>
      </c>
      <c r="H493" s="2">
        <v>45795</v>
      </c>
      <c r="I493" s="2">
        <v>45803</v>
      </c>
      <c r="J493">
        <v>388117</v>
      </c>
      <c r="K493">
        <v>6</v>
      </c>
      <c r="L493">
        <v>6</v>
      </c>
      <c r="M493">
        <v>1</v>
      </c>
      <c r="N493">
        <v>0</v>
      </c>
    </row>
    <row r="494" spans="1:14" x14ac:dyDescent="0.35">
      <c r="A494" t="s">
        <v>506</v>
      </c>
      <c r="B494" t="s">
        <v>1006</v>
      </c>
      <c r="C494">
        <v>73</v>
      </c>
      <c r="D494" t="s">
        <v>1015</v>
      </c>
      <c r="E494" t="s">
        <v>1017</v>
      </c>
      <c r="F494" t="s">
        <v>1024</v>
      </c>
      <c r="G494" t="s">
        <v>1031</v>
      </c>
      <c r="H494" s="2">
        <v>45752</v>
      </c>
      <c r="I494" s="2">
        <v>45757</v>
      </c>
      <c r="J494">
        <v>412958</v>
      </c>
      <c r="K494">
        <v>6</v>
      </c>
      <c r="L494">
        <v>2</v>
      </c>
      <c r="M494">
        <v>3</v>
      </c>
      <c r="N494">
        <v>0</v>
      </c>
    </row>
    <row r="495" spans="1:14" x14ac:dyDescent="0.35">
      <c r="A495" t="s">
        <v>507</v>
      </c>
      <c r="B495" t="s">
        <v>1007</v>
      </c>
      <c r="C495">
        <v>36</v>
      </c>
      <c r="D495" t="s">
        <v>1014</v>
      </c>
      <c r="E495" t="s">
        <v>1018</v>
      </c>
      <c r="F495" t="s">
        <v>1025</v>
      </c>
      <c r="G495" t="s">
        <v>1044</v>
      </c>
      <c r="H495" s="2">
        <v>45750</v>
      </c>
      <c r="I495" s="2">
        <v>45753</v>
      </c>
      <c r="J495">
        <v>408837</v>
      </c>
      <c r="K495">
        <v>2</v>
      </c>
      <c r="L495">
        <v>5</v>
      </c>
      <c r="M495">
        <v>3</v>
      </c>
      <c r="N495">
        <v>0</v>
      </c>
    </row>
    <row r="496" spans="1:14" x14ac:dyDescent="0.35">
      <c r="A496" t="s">
        <v>508</v>
      </c>
      <c r="B496" t="s">
        <v>1008</v>
      </c>
      <c r="C496">
        <v>27</v>
      </c>
      <c r="D496" t="s">
        <v>1014</v>
      </c>
      <c r="E496" t="s">
        <v>1022</v>
      </c>
      <c r="F496" t="s">
        <v>1029</v>
      </c>
      <c r="G496" t="s">
        <v>1041</v>
      </c>
      <c r="H496" s="2">
        <v>45785</v>
      </c>
      <c r="I496" s="2">
        <v>45792</v>
      </c>
      <c r="J496">
        <v>58209</v>
      </c>
      <c r="K496">
        <v>9</v>
      </c>
      <c r="L496">
        <v>9</v>
      </c>
      <c r="M496">
        <v>1</v>
      </c>
      <c r="N496">
        <v>0</v>
      </c>
    </row>
    <row r="497" spans="1:14" x14ac:dyDescent="0.35">
      <c r="A497" t="s">
        <v>509</v>
      </c>
      <c r="B497" t="s">
        <v>1009</v>
      </c>
      <c r="C497">
        <v>73</v>
      </c>
      <c r="D497" t="s">
        <v>1014</v>
      </c>
      <c r="E497" t="s">
        <v>1018</v>
      </c>
      <c r="F497" t="s">
        <v>1025</v>
      </c>
      <c r="G497" t="s">
        <v>1032</v>
      </c>
      <c r="H497" s="2">
        <v>45789</v>
      </c>
      <c r="I497" s="2">
        <v>45795</v>
      </c>
      <c r="J497">
        <v>135170</v>
      </c>
      <c r="K497">
        <v>7</v>
      </c>
      <c r="L497">
        <v>18</v>
      </c>
      <c r="M497">
        <v>1</v>
      </c>
      <c r="N497">
        <v>0</v>
      </c>
    </row>
    <row r="498" spans="1:14" x14ac:dyDescent="0.35">
      <c r="A498" t="s">
        <v>510</v>
      </c>
      <c r="B498" t="s">
        <v>1010</v>
      </c>
      <c r="C498">
        <v>87</v>
      </c>
      <c r="D498" t="s">
        <v>1015</v>
      </c>
      <c r="E498" t="s">
        <v>1022</v>
      </c>
      <c r="F498" t="s">
        <v>1029</v>
      </c>
      <c r="G498" t="s">
        <v>1041</v>
      </c>
      <c r="H498" s="2">
        <v>45751</v>
      </c>
      <c r="I498" s="2">
        <v>45766</v>
      </c>
      <c r="J498">
        <v>254030</v>
      </c>
      <c r="K498">
        <v>3</v>
      </c>
      <c r="L498">
        <v>6</v>
      </c>
      <c r="M498">
        <v>2</v>
      </c>
      <c r="N498">
        <v>0</v>
      </c>
    </row>
    <row r="499" spans="1:14" x14ac:dyDescent="0.35">
      <c r="A499" t="s">
        <v>511</v>
      </c>
      <c r="B499" t="s">
        <v>1011</v>
      </c>
      <c r="C499">
        <v>89</v>
      </c>
      <c r="D499" t="s">
        <v>1014</v>
      </c>
      <c r="E499" t="s">
        <v>1022</v>
      </c>
      <c r="F499" t="s">
        <v>1029</v>
      </c>
      <c r="G499" t="s">
        <v>1041</v>
      </c>
      <c r="H499" s="2">
        <v>45802</v>
      </c>
      <c r="I499" s="2">
        <v>45815</v>
      </c>
      <c r="J499">
        <v>123374</v>
      </c>
      <c r="K499">
        <v>3</v>
      </c>
      <c r="L499">
        <v>2</v>
      </c>
      <c r="M499">
        <v>1</v>
      </c>
      <c r="N499">
        <v>0</v>
      </c>
    </row>
    <row r="500" spans="1:14" x14ac:dyDescent="0.35">
      <c r="A500" t="s">
        <v>512</v>
      </c>
      <c r="B500" t="s">
        <v>1012</v>
      </c>
      <c r="C500">
        <v>30</v>
      </c>
      <c r="D500" t="s">
        <v>1014</v>
      </c>
      <c r="E500" t="s">
        <v>1018</v>
      </c>
      <c r="F500" t="s">
        <v>1025</v>
      </c>
      <c r="G500" t="s">
        <v>1037</v>
      </c>
      <c r="H500" s="2">
        <v>45796</v>
      </c>
      <c r="I500" s="2">
        <v>45799</v>
      </c>
      <c r="J500">
        <v>279160</v>
      </c>
      <c r="K500">
        <v>7</v>
      </c>
      <c r="L500">
        <v>15</v>
      </c>
      <c r="M500">
        <v>2</v>
      </c>
      <c r="N500">
        <v>0</v>
      </c>
    </row>
    <row r="501" spans="1:14" x14ac:dyDescent="0.35">
      <c r="A501" t="s">
        <v>513</v>
      </c>
      <c r="B501" t="s">
        <v>1013</v>
      </c>
      <c r="C501">
        <v>77</v>
      </c>
      <c r="D501" t="s">
        <v>1015</v>
      </c>
      <c r="E501" t="s">
        <v>1019</v>
      </c>
      <c r="F501" t="s">
        <v>1026</v>
      </c>
      <c r="G501" t="s">
        <v>1038</v>
      </c>
      <c r="H501" s="2">
        <v>45751</v>
      </c>
      <c r="I501" s="2">
        <v>45765</v>
      </c>
      <c r="J501">
        <v>371842</v>
      </c>
      <c r="K501">
        <v>1</v>
      </c>
      <c r="L501">
        <v>9</v>
      </c>
      <c r="M501">
        <v>4</v>
      </c>
      <c r="N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Clean sheet</vt:lpstr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2025-05-28T07:46:01Z</dcterms:created>
  <dcterms:modified xsi:type="dcterms:W3CDTF">2026-10-13T02:02:44Z</dcterms:modified>
</cp:coreProperties>
</file>